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ponsors" sheetId="2" state="visible" r:id="rId4"/>
    <sheet name="All F500" sheetId="3" state="visible" r:id="rId5"/>
  </sheets>
  <definedNames>
    <definedName function="false" hidden="true" localSheetId="2" name="_xlnm._FilterDatabase" vbProcedure="false">'All F500'!$A$1:$M$472</definedName>
    <definedName function="false" hidden="true" localSheetId="1" name="_xlnm._FilterDatabase" vbProcedure="false">Sponsors!$A$7:$M$436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<sst xmlns="http://schemas.openxmlformats.org/spreadsheetml/2006/main" count="1807" uniqueCount="936">
  <si>
    <t xml:space="preserve">Fortune 500 (2026) × USCIS H-1B Employer Data Hub, FY2025 + FY2026 YTD</t>
  </si>
  <si>
    <t xml:space="preserve">Built 2026-09-04</t>
  </si>
  <si>
    <t xml:space="preserve">What this is</t>
  </si>
  <si>
    <t xml:space="preserve">Every company on the 2026 Fortune 500 (public-company portion, 471 firms) cross-referenced against USCIS H-1B petition decisions for FY2025 (Oct 2024 – Sep 2025, complete) and FY2026 (Oct 2025 onward, partial year — see caveats).</t>
  </si>
  <si>
    <t xml:space="preserve">"Approvals" = initial approvals + continuing approvals (renewals/transfers/amendments). "Denials" = initial + continuing denials.</t>
  </si>
  <si>
    <t xml:space="preserve">Sources</t>
  </si>
  <si>
    <t xml:space="preserve">Fortune 500 2026 list: us500.com/fortune-500-companies (mirrors fortune.com/ranking/fortune500, updated Jul 28 2026). Public companies only — the ~29 privately held Fortune 500 firms (e.g. Cargill, Koch, Publix, Mars, State Farm, Fidelity/FMR, Liberty Mutual, USAA) are NOT in this file.</t>
  </si>
  <si>
    <t xml:space="preserve">H-1B data: USCIS H-1B Employer Data Hub (uscis.gov/tools/reports-and-studies/h-1b-employer-data-hub), via the FY2021–FY2026 compilation in github.com/GwanHoKong/H1B-Sponsorship-Analytics (repo dated Apr 30 2026).</t>
  </si>
  <si>
    <t xml:space="preserve">Caveats — read these</t>
  </si>
  <si>
    <t xml:space="preserve">1. FY2026 is a partial year. The compilation was pulled around Q1–Q2 FY2026, so FY2026 columns cover roughly Oct 2025 – Mar 2026, not the Q3 release USCIS has since published. Treat FY2026 as "is the company still filing", not as a full-year volume.</t>
  </si>
  <si>
    <t xml:space="preserve">2. Counts are lower bounds for very large filers. The compiled dataset removed 3,165 "exact duplicate" rows after dropping some USCIS columns; for employers with many identical-looking rows (Amazon, Microsoft, Google, the big banks) this under-counts. Amazon.com Services LLC alone shows ~10K approvals in USCIS's own FY2025 view vs ~480 here. Whether a company sponsors is reliable; exact volumes for the top ~30 are not — check the USCIS hub for those.</t>
  </si>
  <si>
    <t xml:space="preserve">3. Matching is by employer name. USCIS files under legal entity names (e.g. "WAL-MART ASSOCIATES INC", "GOOGLE LLC", "JANSSEN..."). Subsidiaries were mapped to parents by hand for ~350 companies; the "USCIS entities matched" column shows exactly which names were rolled up so you can audit. Some subsidiaries will have been missed, especially where the subsidiary name shares nothing with the parent.</t>
  </si>
  <si>
    <t xml:space="preserve">4. Approval ≠ new hire. Continuing approvals are dominated by extensions/transfers of people already on H-1B. "Initial approvals" is the better signal for a company that hires new H-1B workers, though it also includes transfers from another employer.</t>
  </si>
  <si>
    <t xml:space="preserve">5. Zero rows = no petitions decided in the window in this dataset, not proof the company never sponsors.</t>
  </si>
  <si>
    <t xml:space="preserve">Sheets</t>
  </si>
  <si>
    <t xml:space="preserve">Sponsors — Fortune 500 companies with ≥1 H-1B approval in FY2025 or FY2026 YTD, sorted by FY2025 approvals. Summary counts at top are live formulas.</t>
  </si>
  <si>
    <t xml:space="preserve">All F500 — every company on the list, including non-sponsors, in Fortune rank order.</t>
  </si>
  <si>
    <t xml:space="preserve">Fortune 500 companies with H-1B approvals, FY2025 + FY2026 YTD</t>
  </si>
  <si>
    <t xml:space="preserve">Companies in file (public F500)</t>
  </si>
  <si>
    <t xml:space="preserve">With ≥1 approval FY2025 or FY2026 YTD</t>
  </si>
  <si>
    <t xml:space="preserve">With ≥1 approval in FY2025 alone</t>
  </si>
  <si>
    <t xml:space="preserve">Share sponsoring</t>
  </si>
  <si>
    <t xml:space="preserve">Fortune rank</t>
  </si>
  <si>
    <t xml:space="preserve">Company</t>
  </si>
  <si>
    <t xml:space="preserve">FY2025 initial approvals</t>
  </si>
  <si>
    <t xml:space="preserve">FY2025 continuing approvals</t>
  </si>
  <si>
    <t xml:space="preserve">FY2025 total approvals</t>
  </si>
  <si>
    <t xml:space="preserve">FY2025 denials</t>
  </si>
  <si>
    <t xml:space="preserve">FY2026 YTD initial approvals</t>
  </si>
  <si>
    <t xml:space="preserve">FY2026 YTD continuing approvals</t>
  </si>
  <si>
    <t xml:space="preserve">FY2026 YTD total approvals</t>
  </si>
  <si>
    <t xml:space="preserve">FY2026 YTD denials</t>
  </si>
  <si>
    <t xml:space="preserve">FY2025 approval rate</t>
  </si>
  <si>
    <t xml:space="preserve">Sponsors?</t>
  </si>
  <si>
    <t xml:space="preserve">USCIS entities matched</t>
  </si>
  <si>
    <t xml:space="preserve">Amazon</t>
  </si>
  <si>
    <t xml:space="preserve">AMAZON ADVERTISING LLC; AMAZON CAPITAL SERVICES INC; AMAZON COM SERVICES LLC; AMAZON DATA SERVICES INC; AMAZON DEVELOPMENT CENTER U S INC; AMAZON DEVELOPMENT CENTER US INC (+7 more)</t>
  </si>
  <si>
    <t xml:space="preserve">Microsoft</t>
  </si>
  <si>
    <t xml:space="preserve">GITHUB INC; GITHUB, INC.; LINKEDIN CORPORATION; MICROSOFT CORPORATION</t>
  </si>
  <si>
    <t xml:space="preserve">Cognizant Technology Solutions</t>
  </si>
  <si>
    <t xml:space="preserve">COGNIZANT MOBILITY INC; COGNIZANT TECHNOLOGY SOLUTIONS US; COGNIZANT TECHNOLOGY SOLUTIONS US CORP; COGNIZANT TRIZETTO SOFTWARE GROUP INC; COGNIZANT WORLDWIDE LIMITED COGNIZANT</t>
  </si>
  <si>
    <t xml:space="preserve">International Business Machines</t>
  </si>
  <si>
    <t xml:space="preserve">IBM CORPORATION; IBM GLOBAL SYSTEMS INC; RED HAT INC</t>
  </si>
  <si>
    <t xml:space="preserve">Intel</t>
  </si>
  <si>
    <t xml:space="preserve">INTEL AMERICAS INC; INTEL CORPORATION; INTEL FEDERAL LLC</t>
  </si>
  <si>
    <t xml:space="preserve">Apple</t>
  </si>
  <si>
    <t xml:space="preserve">APPLE INC</t>
  </si>
  <si>
    <t xml:space="preserve">Walmart</t>
  </si>
  <si>
    <t xml:space="preserve">WAL-MART ASSOCIATES INC</t>
  </si>
  <si>
    <t xml:space="preserve">Nvidia</t>
  </si>
  <si>
    <t xml:space="preserve">NVIDIA CORPORATION</t>
  </si>
  <si>
    <t xml:space="preserve">Goldman Sachs Group</t>
  </si>
  <si>
    <t xml:space="preserve">GOLDMAN SACHS AND CO LLC; GOLDMAN SACHS BANK USA; GOLDMAN SACHS SERVICES LLC; GOLDMAN SACHS WEALTH SERVICES L P; THE GOLDMAN SACHS TRUST COMPANY NA</t>
  </si>
  <si>
    <t xml:space="preserve">Salesforce</t>
  </si>
  <si>
    <t xml:space="preserve">SALESFORCE INC</t>
  </si>
  <si>
    <t xml:space="preserve">Alphabet</t>
  </si>
  <si>
    <t xml:space="preserve">GOOGLE LLC; GOOGLE PUBLIC SECTOR LLC; VERILY LIFE SCIENCES LLC; WAYMO LLC</t>
  </si>
  <si>
    <t xml:space="preserve">Citigroup</t>
  </si>
  <si>
    <t xml:space="preserve">CITI FUND SERVICES OHIO INC; CITI VENTURES INC; CITIBANK N A; CITIBANK NA; CITIGROUP ENERGY INC; CITIGROUP GLOBAL MARKETS INC (+1 more)</t>
  </si>
  <si>
    <t xml:space="preserve">CVS Health</t>
  </si>
  <si>
    <t xml:space="preserve">AETNA INTERNATIONAL LLC; AETNA MEDICAID ADMINISTRATORS LLC; AETNA RESOURCES LLC; CAREMARK LLC; CVS PHARMACY INC; CVS RX SERVICES INC (+1 more)</t>
  </si>
  <si>
    <t xml:space="preserve">Qualcomm</t>
  </si>
  <si>
    <t xml:space="preserve">QUALCOMM ATHEROS INC; QUALCOMM INCORPORATED; QUALCOMM INNOVATION CENTER INC; QUALCOMM TECHNOLOGIES INC</t>
  </si>
  <si>
    <t xml:space="preserve">Oracle</t>
  </si>
  <si>
    <t xml:space="preserve">CERNER TECHNOLOGIES LLC; ORACLE AMERICA INC; ORACLE FINANCIAL SERVICES SOFTWARE INC; ORACLE GLOBAL SUPPLYNET</t>
  </si>
  <si>
    <t xml:space="preserve">American Express</t>
  </si>
  <si>
    <t xml:space="preserve">AMERICAN EXPRESS COMPANY; AMERICAN EXPRESS NATIONAL BANK; AMERICAN EXPRESS TRAVEL RELATED SERVICES COMPANY INC; GBT US LLC D B A AMERICAN EXPRESS GLOBAL BUSINESS TRAVEL; GBT US LLC DBA AMERICAN EXPRESS GLOBAL BUSINESS TRAVEL</t>
  </si>
  <si>
    <t xml:space="preserve">Capital One Financial</t>
  </si>
  <si>
    <t xml:space="preserve">CAPITAL ONE NATIONAL ASSOCIATION; CAPITAL ONE SERVICES LLC</t>
  </si>
  <si>
    <t xml:space="preserve">Tesla</t>
  </si>
  <si>
    <t xml:space="preserve">TESLA INC</t>
  </si>
  <si>
    <t xml:space="preserve">JPMorgan Chase</t>
  </si>
  <si>
    <t xml:space="preserve">JPMORGAN CHASE &amp; CO.; JPMORGAN CHASE AND CO</t>
  </si>
  <si>
    <t xml:space="preserve">PayPal Holdings</t>
  </si>
  <si>
    <t xml:space="preserve">PAYPAL DATA SERVICES INC; PAYPAL INC</t>
  </si>
  <si>
    <t xml:space="preserve">Morgan Stanley</t>
  </si>
  <si>
    <t xml:space="preserve">MORGAN STANLEY AND CO LLC; MORGAN STANLEY BANK N A; MORGAN STANLEY CAPITAL GROUP INC; MORGAN STANLEY FUND SERVICES INC; MORGAN STANLEY INSTITUTIONAL INVESTMENT ADVISORS LLC; MORGAN STANLEY INVESTMENT MANAGEMENT INC (+4 more)</t>
  </si>
  <si>
    <t xml:space="preserve">Intuit</t>
  </si>
  <si>
    <t xml:space="preserve">INTUIT INC</t>
  </si>
  <si>
    <t xml:space="preserve">General Motors</t>
  </si>
  <si>
    <t xml:space="preserve">CRUISE LLC; GENERAL MOTORS; GENERAL MOTORS FINANCIAL COMPANY INC</t>
  </si>
  <si>
    <t xml:space="preserve">Uber Technologies</t>
  </si>
  <si>
    <t xml:space="preserve">UBER FREIGHT US LLC; UBER TECHNOLOGIES INC</t>
  </si>
  <si>
    <t xml:space="preserve">Ford Motor</t>
  </si>
  <si>
    <t xml:space="preserve">FORD MOTOR COMPANY; FORD MOTOR CREDIT COMPANY LLC</t>
  </si>
  <si>
    <t xml:space="preserve">U.S. Bancorp</t>
  </si>
  <si>
    <t xml:space="preserve">U S BANK NATIONAL ASSOCIATION; US BANK NATIONAL ASSOCIATION</t>
  </si>
  <si>
    <t xml:space="preserve">Adobe</t>
  </si>
  <si>
    <t xml:space="preserve">ADOBE INC</t>
  </si>
  <si>
    <t xml:space="preserve">Advanced Micro Devices</t>
  </si>
  <si>
    <t xml:space="preserve">ADVANCED MICRO DEVICES INC; AMD DESIGN LLC; AMD FINANCIAL INC.</t>
  </si>
  <si>
    <t xml:space="preserve">Bank of America</t>
  </si>
  <si>
    <t xml:space="preserve">BANK OF AMERICA CORPORATION; BANK OF AMERICA N A; MERRILL LYNCH; MERRILL LYNCH COMMODITIES INC</t>
  </si>
  <si>
    <t xml:space="preserve">ServiceNow</t>
  </si>
  <si>
    <t xml:space="preserve">SERVICENOW INC</t>
  </si>
  <si>
    <t xml:space="preserve">Comcast</t>
  </si>
  <si>
    <t xml:space="preserve">COMCAST CABLE COMMUNICATIONS LLC; COMCAST CABLE COMMUNICATIONS, LLC; NBCUNIVERSAL MEDIA LLC; NBCUNIVERSAL PRODUCTION SERVICES LLC</t>
  </si>
  <si>
    <t xml:space="preserve">Cummins</t>
  </si>
  <si>
    <t xml:space="preserve">CUMMINS EMISSION SOLUTIONS INC; CUMMINS EMISSION SOLUTIONS INC.; CUMMINS FILTRATION INC; CUMMINS INC; CUMMINS INC.</t>
  </si>
  <si>
    <t xml:space="preserve">Mastercard</t>
  </si>
  <si>
    <t xml:space="preserve">MASTERCARD INTERNATIONAL INCORPORATED; MASTERCARD MOBILE TRANSACTIONS SOLUTIONS, INC.; MASTERCARD TECHNOLOGIES LLC</t>
  </si>
  <si>
    <t xml:space="preserve">UnitedHealth Group</t>
  </si>
  <si>
    <t xml:space="preserve">OPTUM CARE INC; OPTUM CARE WASHINGTON PLLC; OPTUM CARE, INC.; OPTUM MEDICAL CARE OF NEW JERSEY P; OPTUM MEDICAL GROUP II RHODES P C; OPTUM SERVICES INC (+2 more)</t>
  </si>
  <si>
    <t xml:space="preserve">Wells Fargo</t>
  </si>
  <si>
    <t xml:space="preserve">WELLS FARGO BANK N A; WELLS FARGO CLEARING SERVICES LLC; WELLS FARGO SECURITIES LLC</t>
  </si>
  <si>
    <t xml:space="preserve">Palo Alto Networks</t>
  </si>
  <si>
    <t xml:space="preserve">PALO ALTO NETWORKS INC</t>
  </si>
  <si>
    <t xml:space="preserve">Charles Schwab</t>
  </si>
  <si>
    <t xml:space="preserve">CHARLES SCHWAB &amp; COMPANY INC; CHARLES SCHWAB AND COMPANY INC</t>
  </si>
  <si>
    <t xml:space="preserve">Meta Platforms</t>
  </si>
  <si>
    <t xml:space="preserve">META PLATFORMS INC</t>
  </si>
  <si>
    <t xml:space="preserve">FedEx</t>
  </si>
  <si>
    <t xml:space="preserve">FEDERAL EXPRESS CORPORATION; FEDEX CORPORATION; FEDEX CUSTOM CRITICAL INC; FEDEX DATAWORKS INC; FEDEX FREIGHT INC; FEDEX LOGISTICS INC (+2 more)</t>
  </si>
  <si>
    <t xml:space="preserve">Micron Technology</t>
  </si>
  <si>
    <t xml:space="preserve">MICRON SEMICONDUCTOR PRODUCTS INC; MICRON TECHNOLOGY INC; MICRON TECHNOLOGY, INC.</t>
  </si>
  <si>
    <t xml:space="preserve">Cisco Systems</t>
  </si>
  <si>
    <t xml:space="preserve">CISCO SYSTEMS CAPITAL CORPORATION; CISCO SYSTEMS INC</t>
  </si>
  <si>
    <t xml:space="preserve">Applied Materials</t>
  </si>
  <si>
    <t xml:space="preserve">APPLIED MATERIALS INC</t>
  </si>
  <si>
    <t xml:space="preserve">Ebay</t>
  </si>
  <si>
    <t xml:space="preserve">EBAY COMMERCE INC; EBAY INC; EBAY PAYMENTS LLC</t>
  </si>
  <si>
    <t xml:space="preserve">AT&amp;T</t>
  </si>
  <si>
    <t xml:space="preserve">AT AND T MOBILITY SERVICES LLC; AT AND T SERVICES INC</t>
  </si>
  <si>
    <t xml:space="preserve">Automatic Data Processing</t>
  </si>
  <si>
    <t xml:space="preserve">ADP CONSULTANTS INC; ADP DISTRIBUTORS USA INC D B A ROTOMASTER; ADP INC; ADP TAX SERVICES INC; ADP TECHNOLOGY SERVICES INC; ADP TOTALSOURCE SERVICES INC</t>
  </si>
  <si>
    <t xml:space="preserve">DoorDash</t>
  </si>
  <si>
    <t xml:space="preserve">DOORDASH INC</t>
  </si>
  <si>
    <t xml:space="preserve">Expedia Group</t>
  </si>
  <si>
    <t xml:space="preserve">EXPEDIA INC; EXPEDIA, INC.</t>
  </si>
  <si>
    <t xml:space="preserve">BlackRock</t>
  </si>
  <si>
    <t xml:space="preserve">BLACKROCK AUTOMATION INC; BLACKROCK CONSTRUCTION SERVICES LLC; BLACKROCK CORPORATION US INC; BLACKROCK CORPORATION US, INC.; BLACKROCK FINANCIAL MANAGEMENT INC; BLACKROCK INDEX SERVICES LLC (+8 more)</t>
  </si>
  <si>
    <t xml:space="preserve">Elevance Health</t>
  </si>
  <si>
    <t xml:space="preserve">CARELON MANAGEMENT SERVICES LLC; CARELON RESEARCH INC; ELEVANCE HEALTH INC</t>
  </si>
  <si>
    <t xml:space="preserve">Fiserv</t>
  </si>
  <si>
    <t xml:space="preserve">FISERV SOLUTIONS LLC</t>
  </si>
  <si>
    <t xml:space="preserve">Charter Communications</t>
  </si>
  <si>
    <t xml:space="preserve">CHARTER COMMUNICATIONS INC</t>
  </si>
  <si>
    <t xml:space="preserve">Dell Technologies</t>
  </si>
  <si>
    <t xml:space="preserve">DELL MARKETING L P; DELL MARKETING LP; DELL PRODUCTS L P; DELL PRODUCTS LP; EMC CORPORATION</t>
  </si>
  <si>
    <t xml:space="preserve">Verizon Communications</t>
  </si>
  <si>
    <t xml:space="preserve">CELLCO PARTNERSHIP D B A VERIZON WIRELESS; CELLCO PARTNERSHIP DBA VERIZON WIRELESS; VERIZON BUSINESS NETWORK SERVICES LLC; VERIZON CORP RESOURCES GROUP LLC; VERIZON CORPORATE RESOURCES GROUP LLC; VERIZON DATA SERVICES LLC (+1 more)</t>
  </si>
  <si>
    <t xml:space="preserve">Visa</t>
  </si>
  <si>
    <t xml:space="preserve">VISA U S A INC; VISA USA INC</t>
  </si>
  <si>
    <t xml:space="preserve">Cigna Group</t>
  </si>
  <si>
    <t xml:space="preserve">CIGNA EVERNORTH SERVICES INC; CIGNA HEALTH AND LIFE INSURANCE COMPANY; CIGNA-EVERNORTH SERVICES INC; EVERNORTH SALES OPERATIONS INC; EVERNORTH STRATEGIC DEVELOPMENT INC; EXPRESS SCRIPTS INC (+2 more)</t>
  </si>
  <si>
    <t xml:space="preserve">Amgen</t>
  </si>
  <si>
    <t xml:space="preserve">AMGEN INC</t>
  </si>
  <si>
    <t xml:space="preserve">Nike</t>
  </si>
  <si>
    <t xml:space="preserve">NIKE IHM INC; NIKE INC; NIKE RETAIL SERVICES INC; NIKE USA INC</t>
  </si>
  <si>
    <t xml:space="preserve">AbbVie</t>
  </si>
  <si>
    <t xml:space="preserve">ABBVIE BIORESEARCH CENTER INC; ABBVIE BIORESEARCH CENTER INC AN ABBVIE COMPANY; ABBVIE BIOTHERAPEUTICS INC; ABBVIE BIOTHERAPEUTICS INC AN ABBVIE COMPANY; ABBVIE ENDOCRINOLOGY INC AN ABBVIE COMPANY; ABBVIE INC (+3 more)</t>
  </si>
  <si>
    <t xml:space="preserve">Lowe's</t>
  </si>
  <si>
    <t xml:space="preserve">LOWES COMPANIES INC</t>
  </si>
  <si>
    <t xml:space="preserve">EchoStar</t>
  </si>
  <si>
    <t xml:space="preserve">DISH NETWORK LLC; DISH WIRELESS LLC; ECHOSTAR OPERATING LLC</t>
  </si>
  <si>
    <t xml:space="preserve">Workday</t>
  </si>
  <si>
    <t xml:space="preserve">WORKDAY INC</t>
  </si>
  <si>
    <t xml:space="preserve">Home Depot</t>
  </si>
  <si>
    <t xml:space="preserve">HOME DEPOT MANAGEMENT COMPANY LLC; HOME DEPOT USA INC</t>
  </si>
  <si>
    <t xml:space="preserve">Caterpillar</t>
  </si>
  <si>
    <t xml:space="preserve">CATERPILLAR FINANCIAL SERVICES CORPORATION; CATERPILLAR GLOBAL MINING LLC; CATERPILLAR INC; CATERPILLAR LOGISTICS INC; CATERPILLAR SWITCHGEAR AMERICAS LLC</t>
  </si>
  <si>
    <t xml:space="preserve">Hewlett Packard Enterprise</t>
  </si>
  <si>
    <t xml:space="preserve">HEWLETT PACKARD ENTERPRISE COMPANY</t>
  </si>
  <si>
    <t xml:space="preserve">KLA</t>
  </si>
  <si>
    <t xml:space="preserve">KLA CORPORATION</t>
  </si>
  <si>
    <t xml:space="preserve">State Street</t>
  </si>
  <si>
    <t xml:space="preserve">STATE STREET BANK AND TRUST COMPANY</t>
  </si>
  <si>
    <t xml:space="preserve">American Airlines Group</t>
  </si>
  <si>
    <t xml:space="preserve">AMERICAN AIRLINES INC</t>
  </si>
  <si>
    <t xml:space="preserve">Intuitive Surgical</t>
  </si>
  <si>
    <t xml:space="preserve">INTUITIVE SURGICAL INC; INTUITIVE SURGICAL OPERATIONS INC</t>
  </si>
  <si>
    <t xml:space="preserve">Netflix</t>
  </si>
  <si>
    <t xml:space="preserve">NETFLIX GLOBAL LLC; NETFLIX INC</t>
  </si>
  <si>
    <t xml:space="preserve">Truist Financial</t>
  </si>
  <si>
    <t xml:space="preserve">TRUIST BANK; TRUIST INSURANCE HOLDINGS LLC</t>
  </si>
  <si>
    <t xml:space="preserve">Abbott Laboratories</t>
  </si>
  <si>
    <t xml:space="preserve">ABBOTT CARDIOVASCULAR SYSTEMS INC; ABBOTT CARDIOVASCULAR SYSTEMS INC AN ABBOTT LABORATORIES COMPANY; ABBOTT DIABETES CARE INC AN ABBOTT LABORATORIES COMPANY; ABBOTT DIABETES CARE SALES CORPORATION AN ABBOTT LABORATORIES COMPANY; ABBOTT LABORATORIES; ABBOTT LABORATORIES INC (+11 more)</t>
  </si>
  <si>
    <t xml:space="preserve">Eli Lilly</t>
  </si>
  <si>
    <t xml:space="preserve">ELI LILLY AND COMPANY</t>
  </si>
  <si>
    <t xml:space="preserve">Broadcom</t>
  </si>
  <si>
    <t xml:space="preserve">BROADCOM CORPORATION; VMWARE LLC</t>
  </si>
  <si>
    <t xml:space="preserve">Moody's</t>
  </si>
  <si>
    <t xml:space="preserve">MOODYS ANALYTICS INC; MOODYS INVESTORS SERVICE INC; MOODYS NORTH WEST CONSULTING, LLC; MOODYS SHARED SERVICES INC</t>
  </si>
  <si>
    <t xml:space="preserve">Albertsons</t>
  </si>
  <si>
    <t xml:space="preserve">ALBERTSONS LLC; SAFEWAY INC</t>
  </si>
  <si>
    <t xml:space="preserve">Bristol-Myers Squibb</t>
  </si>
  <si>
    <t xml:space="preserve">BRISTOL-MYERS SQUIBB COMPANY</t>
  </si>
  <si>
    <t xml:space="preserve">Block</t>
  </si>
  <si>
    <t xml:space="preserve">BLOCK INC; CASH APP TAXES INC</t>
  </si>
  <si>
    <t xml:space="preserve">Target</t>
  </si>
  <si>
    <t xml:space="preserve">TARGET ENTERPRISE INC</t>
  </si>
  <si>
    <t xml:space="preserve">Thermo Fisher Scientific</t>
  </si>
  <si>
    <t xml:space="preserve">THERMO FISHER SCIENTIFIC INC</t>
  </si>
  <si>
    <t xml:space="preserve">Lam Research</t>
  </si>
  <si>
    <t xml:space="preserve">LAM RESEARCH CORPORATION</t>
  </si>
  <si>
    <t xml:space="preserve">Chewy</t>
  </si>
  <si>
    <t xml:space="preserve">CHEWY INC</t>
  </si>
  <si>
    <t xml:space="preserve">Wayfair</t>
  </si>
  <si>
    <t xml:space="preserve">WAYFAIR LLC</t>
  </si>
  <si>
    <t xml:space="preserve">Analog Devices</t>
  </si>
  <si>
    <t xml:space="preserve">ANALOG DEVICES INC; MAXIM INTEGRATED PRODUCTS LLC</t>
  </si>
  <si>
    <t xml:space="preserve">Fidelity National Information (FIS)</t>
  </si>
  <si>
    <t xml:space="preserve">FIS MANAGEMENT SERVICES LLC</t>
  </si>
  <si>
    <t xml:space="preserve">RTX</t>
  </si>
  <si>
    <t xml:space="preserve">AEROSPACE LIGHTING CORPORATION D B A COLLINS AEROSPACE; AMI INDUSTRIES INC D B A COLLINS AEROSPACE; ARINC INCORPORATED D B A COLLINS AEROSPACE; B E AEROSPACE INC D B A COLLINS AEROSPACE; B/E AEROSPACE INC DBA COLLINS AEROSPACE; GOODRICH CORPORATION D B A COLLINS AEROSPACE (+10 more)</t>
  </si>
  <si>
    <t xml:space="preserve">IQVIA Holdings</t>
  </si>
  <si>
    <t xml:space="preserve">IQVIA CSMS US INC; IQVIA DIGITAL INC; IQVIA INC; IQVIA RDS INC</t>
  </si>
  <si>
    <t xml:space="preserve">Intercontinental Exchange</t>
  </si>
  <si>
    <t xml:space="preserve">ICE MORTGAGE TECHNOLOGY INC; INTERCONTINENTAL EXCHANGE HOLDINGS INC</t>
  </si>
  <si>
    <t xml:space="preserve">Concentrix</t>
  </si>
  <si>
    <t xml:space="preserve">CONCENTRIX CVG CORPORATION; CONCENTRIX CVG CUSTOMER MANAGEMENT GROUP INC; CONCENTRIX CVG CUSTOMER MANAGEMENT GROUP INC.; CONCENTRIX CVG LLC; CONCENTRIX SERVICES US, INC.; CONCENTRIX SOLUTIONS CORPORATION (+1 more)</t>
  </si>
  <si>
    <t xml:space="preserve">Humana</t>
  </si>
  <si>
    <t xml:space="preserve">HUMANA INC</t>
  </si>
  <si>
    <t xml:space="preserve">Deere</t>
  </si>
  <si>
    <t xml:space="preserve">DEERE AND COMPANY</t>
  </si>
  <si>
    <t xml:space="preserve">Citizens Financial Group</t>
  </si>
  <si>
    <t xml:space="preserve">CITIZENS FINANCIAL GROUP INC</t>
  </si>
  <si>
    <t xml:space="preserve">Gilead Sciences</t>
  </si>
  <si>
    <t xml:space="preserve">GILEAD SCIENCES INC</t>
  </si>
  <si>
    <t xml:space="preserve">Airbnb</t>
  </si>
  <si>
    <t xml:space="preserve">AIRBNB INC; AIRBNB PAYMENTS INC</t>
  </si>
  <si>
    <t xml:space="preserve">AECOM</t>
  </si>
  <si>
    <t xml:space="preserve">AECOM; AECOM TECHNICAL SERVICES INC</t>
  </si>
  <si>
    <t xml:space="preserve">Honeywell Technologies</t>
  </si>
  <si>
    <t xml:space="preserve">HONEYWELL ANALYTICS INC; HONEYWELL CAPITAL MANAGEMENT LLC; HONEYWELL ELECTRONIC CHEMICALS LLC; HONEYWELL INTERNATIONAL INC; HONEYWELL SAFETY PRODUCTS USA INC; HONEYWELL SECURITY AMERICAS LLC</t>
  </si>
  <si>
    <t xml:space="preserve">Marvell Technology</t>
  </si>
  <si>
    <t xml:space="preserve">MARVELL SEMICONDUCTOR INC</t>
  </si>
  <si>
    <t xml:space="preserve">Regeneron Pharmaceuticals</t>
  </si>
  <si>
    <t xml:space="preserve">REGENERON GENETICS CENTER LLC; REGENERON HEALTHCARE SOLUTIONS INC; REGENERON PHARMACEUTICALS INC</t>
  </si>
  <si>
    <t xml:space="preserve">Delta Air Lines</t>
  </si>
  <si>
    <t xml:space="preserve">DELTA AIR LINES INC</t>
  </si>
  <si>
    <t xml:space="preserve">Becton Dickinson</t>
  </si>
  <si>
    <t xml:space="preserve">BECTON DICKINSON AND COMPANY</t>
  </si>
  <si>
    <t xml:space="preserve">Medline</t>
  </si>
  <si>
    <t xml:space="preserve">MEDLINE INDUSTRIES HOLDINGS LP; MEDLINE INDUSTRIES LP</t>
  </si>
  <si>
    <t xml:space="preserve">Vertex Pharmaceuticals</t>
  </si>
  <si>
    <t xml:space="preserve">VERTEX PHARMACEUTICALS INC; VERTEX PHARMACEUTICALS INCORPORATE; VERTEX PHARMACEUTICALS INCORPORATED</t>
  </si>
  <si>
    <t xml:space="preserve">Merck</t>
  </si>
  <si>
    <t xml:space="preserve">MERCK RESEARCH LABORATORIES MASSACHUSETTS LLC; MERCK SHARP AND DOHME LLC; MERCK TEKNIKA LLC</t>
  </si>
  <si>
    <t xml:space="preserve">Starbucks</t>
  </si>
  <si>
    <t xml:space="preserve">STARBUCKS COFFEE COMPANY</t>
  </si>
  <si>
    <t xml:space="preserve">MetLife</t>
  </si>
  <si>
    <t xml:space="preserve">METLIFE GROUP INC</t>
  </si>
  <si>
    <t xml:space="preserve">Freddie Mac</t>
  </si>
  <si>
    <t xml:space="preserve">FEDERAL HOME LOAN MORTGAGE CORPORATION</t>
  </si>
  <si>
    <t xml:space="preserve">Best Buy</t>
  </si>
  <si>
    <t xml:space="preserve">BEST BUY CO INC</t>
  </si>
  <si>
    <t xml:space="preserve">Bank of New York (BNY)</t>
  </si>
  <si>
    <t xml:space="preserve">BNY ADMINISTRATIVE SERVICES LLC; BNY MELLON CAPITAL MARKETS LLC; BNY MELLON GOVERNMENT SECURITIES SERVICES CORPORATION; THE BANK OF NEW YORK MELLON</t>
  </si>
  <si>
    <t xml:space="preserve">Northern Trust</t>
  </si>
  <si>
    <t xml:space="preserve">THE NORTHERN TRUST COMPANY</t>
  </si>
  <si>
    <t xml:space="preserve">Labcorp Holdings</t>
  </si>
  <si>
    <t xml:space="preserve">LABCORP BIOANALYTICAL SERVICES LLC; LABCORP CENTRAL LABORATORY SERVICES LP; LABCORP EARLY DEVELOPMENT LABORATORIES INC; LABORATORY CORPORATION OF AMERICA; LABORATORY CORPORATION OF AMERICA HOLDINGS</t>
  </si>
  <si>
    <t xml:space="preserve">Costco Wholesale</t>
  </si>
  <si>
    <t xml:space="preserve">COSTCO WHOLESALE CORPORATION; CWC TRAVEL INC DBA COSTCO TRAVEL</t>
  </si>
  <si>
    <t xml:space="preserve">Arista Networks</t>
  </si>
  <si>
    <t xml:space="preserve">ARISTA NETWORKS INC; ARISTA TECHNOLOGIES LLC</t>
  </si>
  <si>
    <t xml:space="preserve">NextEra Energy</t>
  </si>
  <si>
    <t xml:space="preserve">FLORIDA POWER &amp; LIGHT COMPANY; FLORIDA POWER AND LIGHT COMPANY; NEXTERA ANALYTICS, LLC; NEXTERA ENERGY MARKETING LLC; NEXTERA ENERGY MARKETING, LLC; NEXTERA ENERGY OPERATING SERVICES, LLC (+6 more)</t>
  </si>
  <si>
    <t xml:space="preserve">Ally Financial</t>
  </si>
  <si>
    <t xml:space="preserve">ALLY BANK; ALLY FINANCIAL INC</t>
  </si>
  <si>
    <t xml:space="preserve">Motorola Solutions</t>
  </si>
  <si>
    <t xml:space="preserve">MOTOROLA MOBILITY LLC; MOTOROLA SOLUTIONS INC</t>
  </si>
  <si>
    <t xml:space="preserve">Texas Instruments</t>
  </si>
  <si>
    <t xml:space="preserve">TEXAS INSTRUMENTS INCORPORATED</t>
  </si>
  <si>
    <t xml:space="preserve">S&amp;P Global</t>
  </si>
  <si>
    <t xml:space="preserve">S AND P GLOBAL INC; S AND P GLOBAL MARKET INTELLIGENCE; S AND P GLOBAL MARKET INTELLIGENCE INC; S&amp;P GLOBAL INC.; STANDARD &amp; POOR'S FINANCIAL SERVICES LLC; STANDARD AND POORS FINANCIAL SERVI (+1 more)</t>
  </si>
  <si>
    <t xml:space="preserve">Archer Daniels Midland</t>
  </si>
  <si>
    <t xml:space="preserve">ADM INVESTOR SERVICES INC; ADM INVESTOR SERVICES, INC.; ARCHER DANIELS MIDLAND COMPANY</t>
  </si>
  <si>
    <t xml:space="preserve">Centene</t>
  </si>
  <si>
    <t xml:space="preserve">CENTENE MANAGEMENT COMPANY LLC</t>
  </si>
  <si>
    <t xml:space="preserve">HP</t>
  </si>
  <si>
    <t xml:space="preserve">HP INC</t>
  </si>
  <si>
    <t xml:space="preserve">Danaher</t>
  </si>
  <si>
    <t xml:space="preserve">BECKMAN COULTER INC; CEPHEID; DANAHER CORPORATION</t>
  </si>
  <si>
    <t xml:space="preserve">Jefferies Financial Group</t>
  </si>
  <si>
    <t xml:space="preserve">JEFFERIES LLC</t>
  </si>
  <si>
    <t xml:space="preserve">Cardinal Health</t>
  </si>
  <si>
    <t xml:space="preserve">CARDINAL HEALTH INC; CARDINAL HEALTH, INC.</t>
  </si>
  <si>
    <t xml:space="preserve">Equinix</t>
  </si>
  <si>
    <t xml:space="preserve">EQUINIX INC</t>
  </si>
  <si>
    <t xml:space="preserve">Boston Scientific</t>
  </si>
  <si>
    <t xml:space="preserve">BOSTON SCIENTIFIC CORPORATION</t>
  </si>
  <si>
    <t xml:space="preserve">HCA Healthcare</t>
  </si>
  <si>
    <t xml:space="preserve">HCA HEALTHCARE DBA TEXAS ORTHOPEDIC HOSPITAL; HCA HUMAN RESOURCES LLC; HCA IT AND S FIELD OPERATIONS INC; HCA MANAGEMENT SERVICES LP</t>
  </si>
  <si>
    <t xml:space="preserve">Zimmer Biomet Holdings</t>
  </si>
  <si>
    <t xml:space="preserve">BIOMET 3I LLC; BIOMET FAIRLAWN LLC; BIOMET MANUFACTURING LLC; ZIMMER BIOMET CMF AND THORACIC LLC; ZIMMER GROUP U S INC; ZIMMER GROUP US INC (+2 more)</t>
  </si>
  <si>
    <t xml:space="preserve">M&amp;T Bank</t>
  </si>
  <si>
    <t xml:space="preserve">M AND T BANK</t>
  </si>
  <si>
    <t xml:space="preserve">Southwest Airlines</t>
  </si>
  <si>
    <t xml:space="preserve">SOUTHWEST AIRLINES CO</t>
  </si>
  <si>
    <t xml:space="preserve">J.B. Hunt Transport Services</t>
  </si>
  <si>
    <t xml:space="preserve">J B HUNT TRANSPORT INC</t>
  </si>
  <si>
    <t xml:space="preserve">McKesson</t>
  </si>
  <si>
    <t xml:space="preserve">MCKESSON CORPORATION</t>
  </si>
  <si>
    <t xml:space="preserve">Johnson &amp; Johnson</t>
  </si>
  <si>
    <t xml:space="preserve">JANSSEN GLOBAL SERVICES LLC; JANSSEN PHARMACEUTICALS INC; JANSSEN RESEARCH &amp; DEVELOPMENT LLC; JANSSEN RESEARCH AND DEVELOPMENT L; JANSSEN RESEARCH AND DEVELOPMENT LLC; JANSSEN SCIENTIFIC AFFAIRS LLC (+7 more)</t>
  </si>
  <si>
    <t xml:space="preserve">Walt Disney</t>
  </si>
  <si>
    <t xml:space="preserve">DISNEY CONSUMER PRODUCTS AND INTERACTIVE MEDIA INC; DISNEY ENTERTAINMENT AND SPORTS LL; DISNEY ENTERTAINMENT AND SPORTS LLC; DISNEY ONLINE INDIRECT SUBSIDIARY OF THE WALT DISNEY COMPANY; DISNEY PARKS TECHNOLOGY SERVICES CO LLC; DISNEY PARKS TECHNOLOGY SERVICES CO LLC FKA WALT DISNEY ATTRACTIONS T (+9 more)</t>
  </si>
  <si>
    <t xml:space="preserve">CBRE Group</t>
  </si>
  <si>
    <t xml:space="preserve">CBRE INC; CBRE INVESTMENT MANAGEMENT, LLC</t>
  </si>
  <si>
    <t xml:space="preserve">LPL Financial Holdings</t>
  </si>
  <si>
    <t xml:space="preserve">LPL FINANCIAL LLC</t>
  </si>
  <si>
    <t xml:space="preserve">Raymond James Financial</t>
  </si>
  <si>
    <t xml:space="preserve">RAYMOND JAMES AND ASSOCIATES INC</t>
  </si>
  <si>
    <t xml:space="preserve">Huntington Bancshares</t>
  </si>
  <si>
    <t xml:space="preserve">THE HUNTINGTON NATIONAL BANK</t>
  </si>
  <si>
    <t xml:space="preserve">Marsh &amp; McLennan</t>
  </si>
  <si>
    <t xml:space="preserve">GUY CARPENTER AND COMPANY LLC; MARSH AND MCLENNAN AGENCY LLC; MARSH AND MCLENNAN COMPANIES INC; MARSH AND MCLENNAN SHARED SERVICES; MARSH AND MCLENNAN SHARED SERVICES LLC; MARSH USA LLC (+5 more)</t>
  </si>
  <si>
    <t xml:space="preserve">W.W. Grainger</t>
  </si>
  <si>
    <t xml:space="preserve">GRAINGER CORPORATE SERVICES LLC; GRAINGER MANAGEMENT LLC; W W GRAINGER INC; W.W. GRAINGER, INC.</t>
  </si>
  <si>
    <t xml:space="preserve">Prudential Financial</t>
  </si>
  <si>
    <t xml:space="preserve">PRUDENTIAL INTERNATIONAL INSURANCE SERVICES COMPANY, LLC; THE PRUDENTIAL INSURANCE COMPANY OF AMERICA</t>
  </si>
  <si>
    <t xml:space="preserve">Coupang</t>
  </si>
  <si>
    <t xml:space="preserve">COUPANG GLOBAL LLC</t>
  </si>
  <si>
    <t xml:space="preserve">Stryker</t>
  </si>
  <si>
    <t xml:space="preserve">STRYKER CORPORATION</t>
  </si>
  <si>
    <t xml:space="preserve">Jacobs Solutions</t>
  </si>
  <si>
    <t xml:space="preserve">JACOBS CORPORATION; JACOBS ENGINEERING GROUP INC; JACOBS ENGINEERING NY INC; JACOBS TECHNOLOGY INC DBA JACOBS</t>
  </si>
  <si>
    <t xml:space="preserve">Ameriprise Financial</t>
  </si>
  <si>
    <t xml:space="preserve">AMERIPRISE BANK FSB; AMERIPRISE FINANCIAL INC; AMERIPRISE FINANCIAL SERVICES LLC</t>
  </si>
  <si>
    <t xml:space="preserve">Sirius XM Holdings</t>
  </si>
  <si>
    <t xml:space="preserve">SIRIUS XM RADIO LLC</t>
  </si>
  <si>
    <t xml:space="preserve">Zoetis</t>
  </si>
  <si>
    <t xml:space="preserve">ZOETIS INC</t>
  </si>
  <si>
    <t xml:space="preserve">GE HealthCare Technologies</t>
  </si>
  <si>
    <t xml:space="preserve">GE HEALTHCARE IITS USA CORPORATION; GE PRECISION HEALTHCARE LLC</t>
  </si>
  <si>
    <t xml:space="preserve">Gap</t>
  </si>
  <si>
    <t xml:space="preserve">GAP INC</t>
  </si>
  <si>
    <t xml:space="preserve">First Citizens BancShares</t>
  </si>
  <si>
    <t xml:space="preserve">FIRST CITIZENS BANK AND TRUST CO</t>
  </si>
  <si>
    <t xml:space="preserve">Biogen</t>
  </si>
  <si>
    <t xml:space="preserve">BIOGEN INC</t>
  </si>
  <si>
    <t xml:space="preserve">Leidos Holdings</t>
  </si>
  <si>
    <t xml:space="preserve">LEIDOS BIOMEDICAL RESEARCH INC; LEIDOS ENGINEERING LLC; LEIDOS INC</t>
  </si>
  <si>
    <t xml:space="preserve">Corning</t>
  </si>
  <si>
    <t xml:space="preserve">CORNING INCORPORATED; CORNING OPTICAL COMMUNICATIONS LLC; CORNING RESEARCH &amp; DEVELOPMENT CORPORATION; CORNING RESEARCH AND DEVELOPMENT C</t>
  </si>
  <si>
    <t xml:space="preserve">Pfizer</t>
  </si>
  <si>
    <t xml:space="preserve">PFIZER INC</t>
  </si>
  <si>
    <t xml:space="preserve">PNC Financial Services Group</t>
  </si>
  <si>
    <t xml:space="preserve">PNC INC; THE PNC FINANCIAL SERVICES GROUP I; THE PNC FINANCIAL SERVICES GROUP INC</t>
  </si>
  <si>
    <t xml:space="preserve">Blackstone</t>
  </si>
  <si>
    <t xml:space="preserve">BLACKSTONE INC; BLACKSTONE INDUSTRIES LLC</t>
  </si>
  <si>
    <t xml:space="preserve">Western Digital</t>
  </si>
  <si>
    <t xml:space="preserve">WESTERN DIGITAL TECHNOLOGIES INC</t>
  </si>
  <si>
    <t xml:space="preserve">Warner Bros. Discovery</t>
  </si>
  <si>
    <t xml:space="preserve">HBO SERVICE CORPORATION; WARNER BROS HOME ENTERTAINMENT INC; WARNERMEDIA SERVICES LLC</t>
  </si>
  <si>
    <t xml:space="preserve">Synchrony</t>
  </si>
  <si>
    <t xml:space="preserve">SYNCHRONY BANK</t>
  </si>
  <si>
    <t xml:space="preserve">Sherwin-Williams</t>
  </si>
  <si>
    <t xml:space="preserve">THE SHERWIN-WILLIAMS COMPANY</t>
  </si>
  <si>
    <t xml:space="preserve">Macy's</t>
  </si>
  <si>
    <t xml:space="preserve">MACYS COM LLC; MACYS CORPORATE SERVICES LLC; MACYS RETAIL HOLDINGS LLC; MACYS SYSTEMS AND TECHNOLOGY INC</t>
  </si>
  <si>
    <t xml:space="preserve">Ingram Micro Holding</t>
  </si>
  <si>
    <t xml:space="preserve">INGRAM MICRO INC; INGRAM MICRO SERVICES LLC; INGRAM MICRO TEXAS L P</t>
  </si>
  <si>
    <t xml:space="preserve">Stanley Black &amp; Decker</t>
  </si>
  <si>
    <t xml:space="preserve">STANLEY BLACK AND DECKER INC</t>
  </si>
  <si>
    <t xml:space="preserve">Hartford Insurance Group</t>
  </si>
  <si>
    <t xml:space="preserve">HARTFORD FIRE INSURANCE COMPANY</t>
  </si>
  <si>
    <t xml:space="preserve">AutoZone</t>
  </si>
  <si>
    <t xml:space="preserve">AUTOZONE INC</t>
  </si>
  <si>
    <t xml:space="preserve">Voya Financial</t>
  </si>
  <si>
    <t xml:space="preserve">VOYA INSTITUTIONAL PLAN SERVICES LLC; VOYA INVESTMENT MANAGEMENT LLC; VOYA RETIREMENT INSURANCE AND ANNUITY COMPANY; VOYA SERVICES COMPANY</t>
  </si>
  <si>
    <t xml:space="preserve">Lumen Technologies</t>
  </si>
  <si>
    <t xml:space="preserve">CENTURYLINK COMMUNICATIONS LLC; LEVEL 3 COMMUNICATIONS LLC; LUMEN TECHNOLOGIES SERVICE GROUP LLC; QWEST CORPORATION</t>
  </si>
  <si>
    <t xml:space="preserve">Progressive</t>
  </si>
  <si>
    <t xml:space="preserve">PROGRESSIVE AE INC D B A PROGRESSIVE COMPANIES INC; PROGRESSIVE CASUALTY INSURANCE COMPANY</t>
  </si>
  <si>
    <t xml:space="preserve">Marriott International</t>
  </si>
  <si>
    <t xml:space="preserve">MARRIOTT INTERNATIONAL INC</t>
  </si>
  <si>
    <t xml:space="preserve">Travelers</t>
  </si>
  <si>
    <t xml:space="preserve">THE TRAVELERS INDEMNITY COMPANY</t>
  </si>
  <si>
    <t xml:space="preserve">Paccar</t>
  </si>
  <si>
    <t xml:space="preserve">PACCAR ENGINE COMPANY; PACCAR FINANCIAL CORP.; PACCAR INC</t>
  </si>
  <si>
    <t xml:space="preserve">Kroger</t>
  </si>
  <si>
    <t xml:space="preserve">84 51 LLC; THE KROGER CO</t>
  </si>
  <si>
    <t xml:space="preserve">CDW</t>
  </si>
  <si>
    <t xml:space="preserve">CDW DIRECT LLC; CDW GOVERNMENT LLC; CDW LLC; CDW TECHNOLOGIES LLC</t>
  </si>
  <si>
    <t xml:space="preserve">BorgWarner</t>
  </si>
  <si>
    <t xml:space="preserve">BORGWARNER DIXON LLC; BORGWARNER EMISSIONS SYSTEMS OF MICHIGAN INC; BORGWARNER INC; BORGWARNER ITHACA LLC; BORGWARNER NOBLESVILLE LLC; BORGWARNER PDS USA INC (+3 more)</t>
  </si>
  <si>
    <t xml:space="preserve">AIG</t>
  </si>
  <si>
    <t xml:space="preserve">AIG CLAIMS INC; AIG EMPLOYEE SERVICES INC; AIG GLOBAL OPERATIONS INC; AIG PC GLOBAL SERVICES INC; AIG TECHNICAL SERVICES LLC; AIG TECHNOLOGIES INC (+1 more)</t>
  </si>
  <si>
    <t xml:space="preserve">DaVita</t>
  </si>
  <si>
    <t xml:space="preserve">DAVITA INC</t>
  </si>
  <si>
    <t xml:space="preserve">Paramount Skydance</t>
  </si>
  <si>
    <t xml:space="preserve">CBS INTERACTIVE INC D B A PARAMOUNT; CBS INTERACTIVE INC DBA PARAMOUNT; PARAMOUNT GLOBAL; PARAMOUNT GLOBAL SOLUTIONS INC; PARAMOUNT PICTURES CORPORATION; SKYDANCE SILICON VALLEY LLC (+3 more)</t>
  </si>
  <si>
    <t xml:space="preserve">United Parcel Service</t>
  </si>
  <si>
    <t xml:space="preserve">UNITED PARCEL SERVICE GENERAL SERV; UNITED PARCEL SERVICE GENERAL SERVICES CO; UNITED PARCEL SERVICE INC; UPS SUPPLY CHAIN SOLUTIONS INC</t>
  </si>
  <si>
    <t xml:space="preserve">PepsiCo</t>
  </si>
  <si>
    <t xml:space="preserve">FRITO-LAY INC; PEPSI-COLA ADVERTISING AND MARKETING, INC.; PEPSI-COLA SALES AND DISTRIBUTION INC; PEPSI-COLA TECHNICAL OPERATIONS INC; PEPSICO BEVERAGE SALES LLC; PEPSICO INC</t>
  </si>
  <si>
    <t xml:space="preserve">Quest Diagnostics</t>
  </si>
  <si>
    <t xml:space="preserve">QUEST DIAGNOSTICS INCORPORATED</t>
  </si>
  <si>
    <t xml:space="preserve">Tractor Supply</t>
  </si>
  <si>
    <t xml:space="preserve">TRACTOR SUPPLY COMPANY</t>
  </si>
  <si>
    <t xml:space="preserve">Fifth Third Bancorp</t>
  </si>
  <si>
    <t xml:space="preserve">FIFTH THIRD BANK NATIONAL ASSOCIAT; FIFTH THIRD BANK NATIONAL ASSOCIATION</t>
  </si>
  <si>
    <t xml:space="preserve">Hertz Global Holdings</t>
  </si>
  <si>
    <t xml:space="preserve">THE HERTZ CORPORATION</t>
  </si>
  <si>
    <t xml:space="preserve">Corteva</t>
  </si>
  <si>
    <t xml:space="preserve">CORTEVA AGRISCIENCE LLC</t>
  </si>
  <si>
    <t xml:space="preserve">Ryder System</t>
  </si>
  <si>
    <t xml:space="preserve">RYDER SYSTEM INC</t>
  </si>
  <si>
    <t xml:space="preserve">MGM Resorts International</t>
  </si>
  <si>
    <t xml:space="preserve">MGM RESORTS INTERNATIONAL; MGM RESORTS INTERNATIONAL OPERATIONS INC; MGM RESORTS SATELLITE LLC</t>
  </si>
  <si>
    <t xml:space="preserve">Jones Lang LaSalle</t>
  </si>
  <si>
    <t xml:space="preserve">JONES LANG LASALLE AMERICAS INC</t>
  </si>
  <si>
    <t xml:space="preserve">Molina Healthcare</t>
  </si>
  <si>
    <t xml:space="preserve">MOLINA HEALTHCARE INC</t>
  </si>
  <si>
    <t xml:space="preserve">Cencora</t>
  </si>
  <si>
    <t xml:space="preserve">AMERISOURCEBERGEN SERVICES CORPORATION; CENCORA PATIENT SERVICES LLC</t>
  </si>
  <si>
    <t xml:space="preserve">Assurant</t>
  </si>
  <si>
    <t xml:space="preserve">AMERICAN BANKERS INSURANCE COMPANY OF FLORIDA ABIC D B A ASSURANT INC; AMERICAN BANKERS INSURANCE COMPANY OF FLORIDA DBA ASSURANT INC.; AMERICAN BANKERS INSURANCE COMPANY OF FLORIDA DBA ASSURANT, INC.</t>
  </si>
  <si>
    <t xml:space="preserve">Westinghouse Air Brake</t>
  </si>
  <si>
    <t xml:space="preserve">WABTEC RAILWAY ELECTRONICS INC; WABTEC RAILWAY ELECTRONICS INC D B A WABTEC CORPORATION; WABTEC US RAIL INC D B A WABTEC CORPORATION; WABTEC US RAIL INC DBA WABTEC CORPORATION; WESTINGHOUSE AIR BRAKE TECHNOLOGIE; WESTINGHOUSE AIR BRAKE TECHNOLOGIES CORP D B A WABTEC CORPORATION (+1 more)</t>
  </si>
  <si>
    <t xml:space="preserve">McDonald's</t>
  </si>
  <si>
    <t xml:space="preserve">MCDONALDS CORPORATION</t>
  </si>
  <si>
    <t xml:space="preserve">Carvana</t>
  </si>
  <si>
    <t xml:space="preserve">CARVANA LLC; CARVANA LOGISTICS LLC</t>
  </si>
  <si>
    <t xml:space="preserve">Genuine Parts</t>
  </si>
  <si>
    <t xml:space="preserve">GENUINE PARTS COMPANY</t>
  </si>
  <si>
    <t xml:space="preserve">BJ's Wholesale Club</t>
  </si>
  <si>
    <t xml:space="preserve">BJ'S WHOLESALE CLUB, INC.; BJS WHOLESALE CLUB INC</t>
  </si>
  <si>
    <t xml:space="preserve">Lululemon athletica</t>
  </si>
  <si>
    <t xml:space="preserve">LULULEMON USA INC</t>
  </si>
  <si>
    <t xml:space="preserve">Whirlpool</t>
  </si>
  <si>
    <t xml:space="preserve">WHIRLPOOL CORPORATION</t>
  </si>
  <si>
    <t xml:space="preserve">Hilton Worldwide Holdings</t>
  </si>
  <si>
    <t xml:space="preserve">HILTON DOMESTIC OPERATING COMPANY; HILTON DOMESTIC OPERATING COMPANY INC</t>
  </si>
  <si>
    <t xml:space="preserve">Jabil</t>
  </si>
  <si>
    <t xml:space="preserve">JABIL INC; JABIL PROCUREMENT SERVICES INC</t>
  </si>
  <si>
    <t xml:space="preserve">DXC Technology</t>
  </si>
  <si>
    <t xml:space="preserve">DXC TECHNOLOGY SERVICES LLC</t>
  </si>
  <si>
    <t xml:space="preserve">Arthur J. Gallagher</t>
  </si>
  <si>
    <t xml:space="preserve">ARTHUR J GALLAGHER SERVICE COMPANY LLC</t>
  </si>
  <si>
    <t xml:space="preserve">GXO Logistics</t>
  </si>
  <si>
    <t xml:space="preserve">GXO ENTERPRISE SERVICES LLC; GXO LOGISTICS CORPORATE SERVICES I; GXO LOGISTICS CORPORATE SERVICES INC; GXO LOGISTICS OF TEXAS LLC; GXO LOGISTICS SUPPLY CHAIN INC; GXO LOGISTICS WORLDWIDE LLC (+1 more)</t>
  </si>
  <si>
    <t xml:space="preserve">Halliburton</t>
  </si>
  <si>
    <t xml:space="preserve">HALLIBURTON ENERGY SERVICES INC; HALLIBURTON TECHNOLOGY PARTNERS LLC</t>
  </si>
  <si>
    <t xml:space="preserve">Rockwell Automation</t>
  </si>
  <si>
    <t xml:space="preserve">ROCKWELL AUTOMATION INC</t>
  </si>
  <si>
    <t xml:space="preserve">Fannie Mae</t>
  </si>
  <si>
    <t xml:space="preserve">FANNIE MAE; FEDERAL NATIONAL MORTGAGE ASSOCIATION</t>
  </si>
  <si>
    <t xml:space="preserve">Apollo Global Management</t>
  </si>
  <si>
    <t xml:space="preserve">APOLLO MANAGEMENT HOLDINGS LP</t>
  </si>
  <si>
    <t xml:space="preserve">Kohl's</t>
  </si>
  <si>
    <t xml:space="preserve">KOHLS INC</t>
  </si>
  <si>
    <t xml:space="preserve">Arrow Electronics</t>
  </si>
  <si>
    <t xml:space="preserve">ARROW ELECTRONICS INC</t>
  </si>
  <si>
    <t xml:space="preserve">Lincoln National</t>
  </si>
  <si>
    <t xml:space="preserve">LINCOLN NATIONAL CORPORATION</t>
  </si>
  <si>
    <t xml:space="preserve">Illinois Tool Works</t>
  </si>
  <si>
    <t xml:space="preserve">ILLINOIS TOOL WORKS INC; ITW FOOD EQUIPMENT GROUP LLC; ITW GSE INC</t>
  </si>
  <si>
    <t xml:space="preserve">Optimum Communications</t>
  </si>
  <si>
    <t xml:space="preserve">CABLEVISION LIGHTPATH LLC; CSC HOLDING LLC; CSC HOLDINGS LLC</t>
  </si>
  <si>
    <t xml:space="preserve">AES</t>
  </si>
  <si>
    <t xml:space="preserve">AES CLEAN ENERGY SERVICES LLC; AES NEXT OPERATIONS LLC; AES PUERTO RICO LP; AES US SERVICES LLC; THE AES CORPORATION</t>
  </si>
  <si>
    <t xml:space="preserve">Constellation Energy</t>
  </si>
  <si>
    <t xml:space="preserve">CONSTELLATION ENERGY GENERATION LL; CONSTELLATION ENERGY GENERATION LLC; CONSTELLATION ENERGY SOLUTIONS LLC</t>
  </si>
  <si>
    <t xml:space="preserve">Dow</t>
  </si>
  <si>
    <t xml:space="preserve">DOW SILICONES CORPORATION; THE DOW CHEMICAL COMPANY</t>
  </si>
  <si>
    <t xml:space="preserve">American Financial Group</t>
  </si>
  <si>
    <t xml:space="preserve">AMERICAN FINANCIAL NETWORK INC; GREAT AMERICAN INSURANCE COMPANY</t>
  </si>
  <si>
    <t xml:space="preserve">Williams-Sonoma</t>
  </si>
  <si>
    <t xml:space="preserve">WILLIAMS-SONOMA INC</t>
  </si>
  <si>
    <t xml:space="preserve">Kyndryl Holdings</t>
  </si>
  <si>
    <t xml:space="preserve">KYNDRYL INC</t>
  </si>
  <si>
    <t xml:space="preserve">Exelon</t>
  </si>
  <si>
    <t xml:space="preserve">EXELON BUSINESS SERVICES COMPANY LLC</t>
  </si>
  <si>
    <t xml:space="preserve">JetBlue Airways</t>
  </si>
  <si>
    <t xml:space="preserve">JETBLUE AIRWAYS CORPORATION; JETBLUE TRAVEL PRODUCTS LLC</t>
  </si>
  <si>
    <t xml:space="preserve">Fluor</t>
  </si>
  <si>
    <t xml:space="preserve">FLUOR ENTERPRISES INC</t>
  </si>
  <si>
    <t xml:space="preserve">Ulta Beauty</t>
  </si>
  <si>
    <t xml:space="preserve">ULTA BEAUTY CREDIT SERVICES CORPORATION; ULTA INC</t>
  </si>
  <si>
    <t xml:space="preserve">Nucor</t>
  </si>
  <si>
    <t xml:space="preserve">NUCOR BUILDINGS GROUP WEST; NUCOR BUSINESS TECHNOLOGY INC; NUCOR CORPORATION; NUCOR CORPORATION NUCOR STEEL BRANDENBURG; NUCOR STEEL GALLATIN LLC; NUCOR STEEL LOUISIANA LLC (+4 more)</t>
  </si>
  <si>
    <t xml:space="preserve">Live Nation Entertainment</t>
  </si>
  <si>
    <t xml:space="preserve">LIVE NATION WORLDWIDE INC</t>
  </si>
  <si>
    <t xml:space="preserve">Dominion Energy</t>
  </si>
  <si>
    <t xml:space="preserve">DOMINION ENERGY SERVICES INC; DOMINION ENERGY SERVICES, INC.; DOMINION ENERGY SOUTH CAROLINA INC; DOMINION ENERGY TECHNICAL SOLUTIONS INC; VIRGINIA ELECTRIC AND POWER COMPANY D B A DOMINION ENERGY VIRGINIA; VIRGINIA ELECTRIC AND POWER COMPANY DBA DOMINION ENERGY VIRGINIA</t>
  </si>
  <si>
    <t xml:space="preserve">Boeing</t>
  </si>
  <si>
    <t xml:space="preserve">BOEING DIGITAL SOLUTIONS INC; BOEING DISTRIBUTION INC; BOEING DISTRIBUTION SERVICES INC; BOEING ENCORE INTERIORS LLC; THE BOEING COMPANY</t>
  </si>
  <si>
    <t xml:space="preserve">Global Payments</t>
  </si>
  <si>
    <t xml:space="preserve">GLOBAL PAYMENTS HOLDING COMPANY</t>
  </si>
  <si>
    <t xml:space="preserve">Tyson Foods</t>
  </si>
  <si>
    <t xml:space="preserve">TYSON FOODS INC; TYSON FOODS, INC.</t>
  </si>
  <si>
    <t xml:space="preserve">Booking Holdings</t>
  </si>
  <si>
    <t xml:space="preserve">KAYAK SOFTWARE CORPORATION; PRICELINE COM LLC</t>
  </si>
  <si>
    <t xml:space="preserve">Super Micro Computer</t>
  </si>
  <si>
    <t xml:space="preserve">SUPER MICRO COMPUTER INC</t>
  </si>
  <si>
    <t xml:space="preserve">Goodyear Tire &amp; Rubber</t>
  </si>
  <si>
    <t xml:space="preserve">THE GOODYEAR TIRE AND RUBBER COMPA; THE GOODYEAR TIRE AND RUBBER COMPANY</t>
  </si>
  <si>
    <t xml:space="preserve">PG&amp;E</t>
  </si>
  <si>
    <t xml:space="preserve">PACIFIC GAS AND ELECTRIC COMPANY</t>
  </si>
  <si>
    <t xml:space="preserve">Kimberly-Clark</t>
  </si>
  <si>
    <t xml:space="preserve">KIMBERLY-CLARK USA LLC</t>
  </si>
  <si>
    <t xml:space="preserve">Ecolab</t>
  </si>
  <si>
    <t xml:space="preserve">ECOLAB INC; ECOLAB USA INC; NALCO COMPANY LLC</t>
  </si>
  <si>
    <t xml:space="preserve">Dollar General</t>
  </si>
  <si>
    <t xml:space="preserve">DOLLAR GENERAL CORPORATION</t>
  </si>
  <si>
    <t xml:space="preserve">KKR</t>
  </si>
  <si>
    <t xml:space="preserve">KKR CAPITAL MARKETS HOLDINGS L.P.; KKR CAPSTONE AMERICAS LLC; KKR CREDIT ADVISORS US LLC; KOHLBERG KRAVIS ROBERTS AND CO L P</t>
  </si>
  <si>
    <t xml:space="preserve">Loews</t>
  </si>
  <si>
    <t xml:space="preserve">CNA NATIONAL WARRANTY CORPORATION; CONTINENTAL CASUALTY COMPANY</t>
  </si>
  <si>
    <t xml:space="preserve">News Corp.</t>
  </si>
  <si>
    <t xml:space="preserve">DOW JONES AND COMPANY; DOW JONES AND COMPANY INC; DOW JONES AND COMPANY, INC.</t>
  </si>
  <si>
    <t xml:space="preserve">NOV</t>
  </si>
  <si>
    <t xml:space="preserve">NATIONAL OILWELL VARCO L P</t>
  </si>
  <si>
    <t xml:space="preserve">Cintas</t>
  </si>
  <si>
    <t xml:space="preserve">CINTAS CORPORATION</t>
  </si>
  <si>
    <t xml:space="preserve">Equitable Holdings</t>
  </si>
  <si>
    <t xml:space="preserve">EQUITABLE FINANCIAL LIFE INSURANCE COMPANY</t>
  </si>
  <si>
    <t xml:space="preserve">Marathon Petroleum</t>
  </si>
  <si>
    <t xml:space="preserve">MARATHON PETROLEUM COMPANY LP</t>
  </si>
  <si>
    <t xml:space="preserve">Freeport-McMoRan</t>
  </si>
  <si>
    <t xml:space="preserve">FREEPORT-MCMORAN BAGDAD INC; FREEPORT-MCMORAN CHINO MINES COMPANY; FREEPORT-MCMORAN EXPLORATION CORPORATION; FREEPORT-MCMORAN MIAMI INC; FREEPORT-MCMORAN MORENCI INC; FREEPORT-MCMORAN SAFFORD INC (+2 more)</t>
  </si>
  <si>
    <t xml:space="preserve">Interactive Brokers Group</t>
  </si>
  <si>
    <t xml:space="preserve">INTERACTIVE BROKERS CORP; INTERACTIVE BROKERS LLC</t>
  </si>
  <si>
    <t xml:space="preserve">Amphenol</t>
  </si>
  <si>
    <t xml:space="preserve">AMPHENOL T AND M ANTENNAS INC; AMPHENOL TCS A DIVISION OF AMPHENO; AMPHENOL TCS A DIVISION OF AMPHENOL CORPORATION; AMPHENOL TECVOX LLC; AMPHENOL THERMOMETRICS INC</t>
  </si>
  <si>
    <t xml:space="preserve">Union Pacific</t>
  </si>
  <si>
    <t xml:space="preserve">UNION PACIFIC RAILROAD COMPANY</t>
  </si>
  <si>
    <t xml:space="preserve">KeyCorp</t>
  </si>
  <si>
    <t xml:space="preserve">KEYBANK NATIONAL ASSOCIATION</t>
  </si>
  <si>
    <t xml:space="preserve">Otis Worldwide</t>
  </si>
  <si>
    <t xml:space="preserve">OTIS ELEVATOR COMPANY</t>
  </si>
  <si>
    <t xml:space="preserve">Entergy</t>
  </si>
  <si>
    <t xml:space="preserve">ENTERGY ARKANSAS LLC; ENTERGY OPERATIONS INC; ENTERGY SERVICES LLC; ENTERGY TEXAS INC</t>
  </si>
  <si>
    <t xml:space="preserve">Franklin Resources</t>
  </si>
  <si>
    <t xml:space="preserve">FRANKLIN ADVISERS INC; FRANKLIN TEMPLETON COMPANIES LLC; FRANKLIN TEMPLETON INSTITUTIONAL LLC; FRANKLIN TEMPLETON INVESTMENTS; FRANKLIN TEMPLETON SERVICES LLC</t>
  </si>
  <si>
    <t xml:space="preserve">Mohawk Industries</t>
  </si>
  <si>
    <t xml:space="preserve">DAL-TILE LLC; MOHAWK INDUSTRIES INC</t>
  </si>
  <si>
    <t xml:space="preserve">NRG Energy</t>
  </si>
  <si>
    <t xml:space="preserve">NRG ENERGY INC</t>
  </si>
  <si>
    <t xml:space="preserve">World Kinect</t>
  </si>
  <si>
    <t xml:space="preserve">WORLD FUEL SERVICES INC; WORLD KINECT CORPORATION; WORLD KINECT CORPORATION F K A WORLD FUEL CORPORATION; WORLD KINECT CORPORATION F K A WORLD FUEL SERVICES CORPORATION</t>
  </si>
  <si>
    <t xml:space="preserve">WESCO International</t>
  </si>
  <si>
    <t xml:space="preserve">WESCO DISTRIBUTION INC</t>
  </si>
  <si>
    <t xml:space="preserve">TJX</t>
  </si>
  <si>
    <t xml:space="preserve">THE TJX COMPANIES INC</t>
  </si>
  <si>
    <t xml:space="preserve">CarMax</t>
  </si>
  <si>
    <t xml:space="preserve">CARMAX BUSINESS SERVICES LLC; CARMAX ENTERPRISE SERVICES LLC; CARMAX ENTERPRISE SERVICES LLC CES</t>
  </si>
  <si>
    <t xml:space="preserve">PPG Industries</t>
  </si>
  <si>
    <t xml:space="preserve">PPG HEALTH, P.A. DBA TARRANT NEPHROLOGY ASSOCIATES; PPG INDUSTRIES INC</t>
  </si>
  <si>
    <t xml:space="preserve">ExxonMobil Holdings</t>
  </si>
  <si>
    <t xml:space="preserve">EXXON MOBIL CORPORATION; EXXONMOBIL BIOMEDICAL SCIENCES INC; EXXONMOBIL GLOBAL SERVICES COMPANY; EXXONMOBIL SALES AND SUPPLY LLC; EXXONMOBIL TECHNOLOGY AND ENGINEER; EXXONMOBIL TECHNOLOGY AND ENGINEERING COMPANY (+1 more)</t>
  </si>
  <si>
    <t xml:space="preserve">Allstate</t>
  </si>
  <si>
    <t xml:space="preserve">ALLSTATE INSURANCE COMPANY; ALLSTATE TECHNOLOGIES INC</t>
  </si>
  <si>
    <t xml:space="preserve">Regions Financial</t>
  </si>
  <si>
    <t xml:space="preserve">REGIONS BANK</t>
  </si>
  <si>
    <t xml:space="preserve">American Electric Power</t>
  </si>
  <si>
    <t xml:space="preserve">AMERICAN ELECTRIC POWER</t>
  </si>
  <si>
    <t xml:space="preserve">Waste Management</t>
  </si>
  <si>
    <t xml:space="preserve">USA WASTE-MANAGEMENT RESOURCES LLC; WASTE MANAGEMENT NATIONAL SERVICES INC; WM CORPORATE SERVICES INC</t>
  </si>
  <si>
    <t xml:space="preserve">KBR</t>
  </si>
  <si>
    <t xml:space="preserve">KBR TECHNICAL SERVICES INC; KBR WYLE SERVICES LLC</t>
  </si>
  <si>
    <t xml:space="preserve">Avery Dennison</t>
  </si>
  <si>
    <t xml:space="preserve">AVERY DENNISON CORPORATION</t>
  </si>
  <si>
    <t xml:space="preserve">Berkshire Hathaway</t>
  </si>
  <si>
    <t xml:space="preserve">BERKSHIRE HATHAWAY DIRECT INSURANCE COMPANY; BERKSHIRE HATHAWAY SPECIALTY INSURANCE COMPANY; BNSF RAILWAY COMPANY</t>
  </si>
  <si>
    <t xml:space="preserve">General Dynamics</t>
  </si>
  <si>
    <t xml:space="preserve">GENERAL DYNAMICS INFORMATION TECHNOLOGY INC; GENERAL DYNAMICS INFORMATION TECHNOLOGY, INC.</t>
  </si>
  <si>
    <t xml:space="preserve">GE Aerospace</t>
  </si>
  <si>
    <t xml:space="preserve">GENERAL ELECTRIC COMPANY</t>
  </si>
  <si>
    <t xml:space="preserve">Procter &amp; Gamble</t>
  </si>
  <si>
    <t xml:space="preserve">THE PROCTER AND GAMBLE COMPANY; THE PROCTER AND GAMBLE MANUFACTURING COMPANY; THE PROCTER AND GAMBLE U S BUSINES; THE PROCTER AND GAMBLE U S BUSINESS SERVICES COMPANY</t>
  </si>
  <si>
    <t xml:space="preserve">DuPont</t>
  </si>
  <si>
    <t xml:space="preserve">DUPONT ELECTRONIC MATERIALS CMP LLC; DUPONT ELECTRONIC MATERIALS INTERNATIONAL LLC; DUPONT SPECIALTY PRODUCTS USA LLC</t>
  </si>
  <si>
    <t xml:space="preserve">W.R. Berkley</t>
  </si>
  <si>
    <t xml:space="preserve">BERKLEY INSURANCE COMPANY; BERKLEY TECHNOLOGY SERVICES LLC; W R BERKLEY CORPORATION</t>
  </si>
  <si>
    <t xml:space="preserve">Parker-Hannifin</t>
  </si>
  <si>
    <t xml:space="preserve">PARKER HANNIFIN CORPORATION</t>
  </si>
  <si>
    <t xml:space="preserve">Nasdaq</t>
  </si>
  <si>
    <t xml:space="preserve">COPELAND MARKETS, LLC DBA NASDAQ PRIVATE MARKET; NASDAQ CORPORATE SOLUTIONS LLC; NASDAQ INC; THE NASDAQ STOCK MARKET LLC</t>
  </si>
  <si>
    <t xml:space="preserve">Unum Group</t>
  </si>
  <si>
    <t xml:space="preserve">UNUM GROUP</t>
  </si>
  <si>
    <t xml:space="preserve">General Mills</t>
  </si>
  <si>
    <t xml:space="preserve">GENERAL MILLS INC</t>
  </si>
  <si>
    <t xml:space="preserve">GE Vernova</t>
  </si>
  <si>
    <t xml:space="preserve">GE VERNOVA ELECTRIFICATION SOFTWARE HOLDINGS LLC; GE VERNOVA INTERNATIONAL LLC; GE VERNOVA OPERATIONS LLC</t>
  </si>
  <si>
    <t xml:space="preserve">Occidental Petroleum</t>
  </si>
  <si>
    <t xml:space="preserve">OCCIDENTAL PETROLEUM CORPORATION</t>
  </si>
  <si>
    <t xml:space="preserve">EOG Resources</t>
  </si>
  <si>
    <t xml:space="preserve">EOG RESOURCES INC</t>
  </si>
  <si>
    <t xml:space="preserve">Lear</t>
  </si>
  <si>
    <t xml:space="preserve">LEAR CORPORATION</t>
  </si>
  <si>
    <t xml:space="preserve">XPO</t>
  </si>
  <si>
    <t xml:space="preserve">XPO ENTERPRISE SERVICES LLC; XPO LTL SOLUTIONS, LLC</t>
  </si>
  <si>
    <t xml:space="preserve">DTE Energy</t>
  </si>
  <si>
    <t xml:space="preserve">DTE ELECTRIC COMPANY; DTE ENERGY CORPORATE SERVICES LLC; DTE ENERGY RESOURCES LLC DBA DTE VANTAGE</t>
  </si>
  <si>
    <t xml:space="preserve">StoneX Group</t>
  </si>
  <si>
    <t xml:space="preserve">STONEX GROUP INC</t>
  </si>
  <si>
    <t xml:space="preserve">Lennar</t>
  </si>
  <si>
    <t xml:space="preserve">LENNAR CORPORATION DBA LENNAR</t>
  </si>
  <si>
    <t xml:space="preserve">Eastman Chemical</t>
  </si>
  <si>
    <t xml:space="preserve">EASTMAN CHEMICAL COMPANY</t>
  </si>
  <si>
    <t xml:space="preserve">Vistra</t>
  </si>
  <si>
    <t xml:space="preserve">VISTRA CORPORATE SERVICES COMPANY; VISTRA RETAIL OPERATIONS COMPANY LLC</t>
  </si>
  <si>
    <t xml:space="preserve">Insight Enterprises</t>
  </si>
  <si>
    <t xml:space="preserve">INSIGHT DIRECT USA INC</t>
  </si>
  <si>
    <t xml:space="preserve">Celanese</t>
  </si>
  <si>
    <t xml:space="preserve">CELANESE CORPORATION; CELANESE POLYMER PRODUCTS LLC</t>
  </si>
  <si>
    <t xml:space="preserve">Xylem</t>
  </si>
  <si>
    <t xml:space="preserve">XYLEM INC; XYLEM SERVICES USA LLC; XYLEM WATER SOLUTIONS ZELIENOPLE L</t>
  </si>
  <si>
    <t xml:space="preserve">3M</t>
  </si>
  <si>
    <t xml:space="preserve">3M COMPANY; 3M HEALTHCARE LATAM APAC EXPORT CORPORATION</t>
  </si>
  <si>
    <t xml:space="preserve">Bitgo Holdings</t>
  </si>
  <si>
    <t xml:space="preserve">BITGO INC</t>
  </si>
  <si>
    <t xml:space="preserve">Venture Global</t>
  </si>
  <si>
    <t xml:space="preserve">VENTURE GLOBAL LNG INC</t>
  </si>
  <si>
    <t xml:space="preserve">Advance Auto Parts</t>
  </si>
  <si>
    <t xml:space="preserve">ADVANCE AUTO BUSINESS SUPPORT LLC; ADVANCE STORES COMPANY INCORPORATE</t>
  </si>
  <si>
    <t xml:space="preserve">Baxter International</t>
  </si>
  <si>
    <t xml:space="preserve">BAXTER HEALTHCARE CORPORATION; BAXTER MANUFACTURING LLC; BAXTER PHARMACEUTICAL SOLUTIONS LLC</t>
  </si>
  <si>
    <t xml:space="preserve">Autoliv</t>
  </si>
  <si>
    <t xml:space="preserve">AUTOLIV ASP INC</t>
  </si>
  <si>
    <t xml:space="preserve">VF</t>
  </si>
  <si>
    <t xml:space="preserve">VF CORPORATION; VF OUTDOOR LLC; VF SERVICES LLC</t>
  </si>
  <si>
    <t xml:space="preserve">ConocoPhillips</t>
  </si>
  <si>
    <t xml:space="preserve">CONOCOPHILLIPS COMPANY</t>
  </si>
  <si>
    <t xml:space="preserve">Valero Energy</t>
  </si>
  <si>
    <t xml:space="preserve">VALERO REFINING COMPANY - TENNESSEE L L C; VALERO SERVICES INC</t>
  </si>
  <si>
    <t xml:space="preserve">American Tower</t>
  </si>
  <si>
    <t xml:space="preserve">AMERICAN TOWER CORPORATION</t>
  </si>
  <si>
    <t xml:space="preserve">Quanta Services</t>
  </si>
  <si>
    <t xml:space="preserve">QUANTA INFRASTRUCTURE SOLUTIONS GROUP, LLC; QUANTA TECHNOLOGY; QUANTA TECHNOLOGY LLC; QUANTA TECHNOLOGY, LLC</t>
  </si>
  <si>
    <t xml:space="preserve">Avis Budget Group</t>
  </si>
  <si>
    <t xml:space="preserve">AVIS BUDGET CAR RENTAL LLC; AVIS BUDGET GROUP</t>
  </si>
  <si>
    <t xml:space="preserve">Yum Brands</t>
  </si>
  <si>
    <t xml:space="preserve">KFC CORPORATION; TACO BELL CORP; YUM RESTAURANT SERVICES GROUP LLC</t>
  </si>
  <si>
    <t xml:space="preserve">Owens Corning</t>
  </si>
  <si>
    <t xml:space="preserve">OWENS CORNING COMPOSITE MATERIALS LLC; OWENS CORNING CORPORATE SERVICES L; OWENS CORNING CORPORATE SERVICES LLC; OWENS CORNING NON-WOVEN TECHNOLOGY LLC; OWENS CORNING ROOFING AND ASPHALT LLC; OWENS CORNING SALES LLC (+1 more)</t>
  </si>
  <si>
    <t xml:space="preserve">Coca-Cola</t>
  </si>
  <si>
    <t xml:space="preserve">COCA-COLA SOUTHWEST BEVERAGES LLC; THE COCA-COLA COMPANY</t>
  </si>
  <si>
    <t xml:space="preserve">Republic Services</t>
  </si>
  <si>
    <t xml:space="preserve">REPUBLIC SERVICES INC</t>
  </si>
  <si>
    <t xml:space="preserve">MasTec</t>
  </si>
  <si>
    <t xml:space="preserve">MASTEC CIVIL LLC; MASTEC SERVICES COMPANY INC; MASTEC SERVICES COMPANY INC.</t>
  </si>
  <si>
    <t xml:space="preserve">Alaska Air Group</t>
  </si>
  <si>
    <t xml:space="preserve">ALASKA AIRLINES INC; ALASKA AIRLINES, INC.</t>
  </si>
  <si>
    <t xml:space="preserve">Mondelez International</t>
  </si>
  <si>
    <t xml:space="preserve">MONDELEZ GLOBAL LLC; MONDELEZ INTERNATIONAL SERVICE LLC</t>
  </si>
  <si>
    <t xml:space="preserve">Oscar Health</t>
  </si>
  <si>
    <t xml:space="preserve">OSCAR MANAGEMENT CORPORATION D B A OSCAR HEALTH; OSCAR MANAGEMENT CORPORATION DBA OSCAR HEALTH</t>
  </si>
  <si>
    <t xml:space="preserve">Phillips 66</t>
  </si>
  <si>
    <t xml:space="preserve">PHILLIPS 66 COMPANY</t>
  </si>
  <si>
    <t xml:space="preserve">AGCO</t>
  </si>
  <si>
    <t xml:space="preserve">AGCO CORPORATION</t>
  </si>
  <si>
    <t xml:space="preserve">Galaxy Digital</t>
  </si>
  <si>
    <t xml:space="preserve">GALAXY DIGITAL SERVICES LLC</t>
  </si>
  <si>
    <t xml:space="preserve">Resideo Technologies</t>
  </si>
  <si>
    <t xml:space="preserve">RESIDEO LLC</t>
  </si>
  <si>
    <t xml:space="preserve">Dick's Sporting Goods</t>
  </si>
  <si>
    <t xml:space="preserve">DICKS SPORTING GOODS INC</t>
  </si>
  <si>
    <t xml:space="preserve">Emerson Electric</t>
  </si>
  <si>
    <t xml:space="preserve">EMERSON AUTOMATION SOLUTIONS FINAL; EMERSON AUTOMATION SOLUTIONS FINAL CONTROL US LP; EMERSON ELECTRIC CO; EMERSON ELECTRIC CO.; EMERSON PROCESS MANAGEMENT POWER AND WATER SOLUTIONS INC; EMERSON PROCESS MANAGEMENT REGULATOR TECHNOLOGIES INC</t>
  </si>
  <si>
    <t xml:space="preserve">Booz Allen Hamilton Holding</t>
  </si>
  <si>
    <t xml:space="preserve">BOOZ ALLEN HAMILTON INC</t>
  </si>
  <si>
    <t xml:space="preserve">O'Reilly Automotive</t>
  </si>
  <si>
    <t xml:space="preserve">OREILLY TECHNOLOGY SERVICES INC</t>
  </si>
  <si>
    <t xml:space="preserve">Norfolk Southern</t>
  </si>
  <si>
    <t xml:space="preserve">NORFOLK SOUTHERN CORPORATION</t>
  </si>
  <si>
    <t xml:space="preserve">Chevron</t>
  </si>
  <si>
    <t xml:space="preserve">CHEVRON CORPORATION; CHEVRON PHILLIPS CHEMICAL COMPANY L P; CHEVRON PHILLIPS CHEMICAL COMPANY LP; CHEVRON USA INC</t>
  </si>
  <si>
    <t xml:space="preserve">Eversource Energy</t>
  </si>
  <si>
    <t xml:space="preserve">21 NSTAR ELECTRIC DBA EVERSOURCE ENERGY; EVERSOURCE ENERGY SERVICE COMPANY</t>
  </si>
  <si>
    <t xml:space="preserve">Viatris</t>
  </si>
  <si>
    <t xml:space="preserve">MYLAN INC; MYLAN PHARMACEUTICALS INC</t>
  </si>
  <si>
    <t xml:space="preserve">Air Products &amp; Chemicals</t>
  </si>
  <si>
    <t xml:space="preserve">AIR PRODUCTS AND CHEMICALS INC</t>
  </si>
  <si>
    <t xml:space="preserve">Cleveland-Cliffs</t>
  </si>
  <si>
    <t xml:space="preserve">CLEVELAND-CLIFFS STEEL CORP; CLEVELAND-CLIFFS STEEL CORPORATION; CLEVELAND-CLIFFS STEEL LLC</t>
  </si>
  <si>
    <t xml:space="preserve">QVC Group</t>
  </si>
  <si>
    <t xml:space="preserve">QVC INC</t>
  </si>
  <si>
    <t xml:space="preserve">Monster Beverage</t>
  </si>
  <si>
    <t xml:space="preserve">MONSTER ENERGY COMPANY; MONSTER ENERGY US LLC</t>
  </si>
  <si>
    <t xml:space="preserve">Baker Hughes</t>
  </si>
  <si>
    <t xml:space="preserve">BAKER HUGHES COMPANY</t>
  </si>
  <si>
    <t xml:space="preserve">Carrier Global</t>
  </si>
  <si>
    <t xml:space="preserve">CARRIER CORPORATION</t>
  </si>
  <si>
    <t xml:space="preserve">Altria Group</t>
  </si>
  <si>
    <t xml:space="preserve">ALTRIA CLIENT SERVICES LLC</t>
  </si>
  <si>
    <t xml:space="preserve">Westlake</t>
  </si>
  <si>
    <t xml:space="preserve">WESTLAKE MANAGEMENT SERVICES INC; WESTLAKE MANAGEMENT SERVICES INC.; WESTLAKE SERVICES LLC; WESTLAKE SERVICES LLC DBA WESTLAKE FINANCIAL</t>
  </si>
  <si>
    <t xml:space="preserve">Avnet</t>
  </si>
  <si>
    <t xml:space="preserve">AVNET INC</t>
  </si>
  <si>
    <t xml:space="preserve">Expeditors Intl. of Washington</t>
  </si>
  <si>
    <t xml:space="preserve">EXPEDITORS INTERNATIONAL OF WASHIN; EXPEDITORS INTERNATIONAL OF WASHINGTON INC</t>
  </si>
  <si>
    <t xml:space="preserve">United Rentals</t>
  </si>
  <si>
    <t xml:space="preserve">UNITED RENTALS INC</t>
  </si>
  <si>
    <t xml:space="preserve">Omnicom Group</t>
  </si>
  <si>
    <t xml:space="preserve">OMNICOM HEALTH GROUP LLC; OMNICOM MEDIA GROUP HOLDINGS INC DBA ANNALECT GROUP; OMNICOM PRODUCTION LLC</t>
  </si>
  <si>
    <t xml:space="preserve">Kenvue</t>
  </si>
  <si>
    <t xml:space="preserve">KENVUE BRANDS LLC</t>
  </si>
  <si>
    <t xml:space="preserve">Conagra Brands</t>
  </si>
  <si>
    <t xml:space="preserve">CONAGRA BRANDS INC</t>
  </si>
  <si>
    <t xml:space="preserve">Darden Restaurants</t>
  </si>
  <si>
    <t xml:space="preserve">DARDEN CORPORATION</t>
  </si>
  <si>
    <t xml:space="preserve">Molson Coors Beverage</t>
  </si>
  <si>
    <t xml:space="preserve">MOLSON COORS BEVERAGE COMPANY USA LLC</t>
  </si>
  <si>
    <t xml:space="preserve">Solventum</t>
  </si>
  <si>
    <t xml:space="preserve">SOLVENTUM HEALTH INFORMATION SYSTEMS INC; SOLVENTUM MANAGEMENT LLC; SOLVENTUM US LLC</t>
  </si>
  <si>
    <t xml:space="preserve">Kraft Heinz</t>
  </si>
  <si>
    <t xml:space="preserve">KRAFT HEINZ FOODS COMPANY</t>
  </si>
  <si>
    <t xml:space="preserve">C.H. Robinson Worldwide</t>
  </si>
  <si>
    <t xml:space="preserve">C H ROBINSON WORLDWIDE INC; C.H. ROBINSON WORLDWIDE, INC.</t>
  </si>
  <si>
    <t xml:space="preserve">Fox</t>
  </si>
  <si>
    <t xml:space="preserve">FOX CORPORATION; FOX ENTERTAINMENT GLOBAL LLC; FOX NEWS NETWORK LLC</t>
  </si>
  <si>
    <t xml:space="preserve">CSX</t>
  </si>
  <si>
    <t xml:space="preserve">CSX TRANSPORTATION INC</t>
  </si>
  <si>
    <t xml:space="preserve">Campbell's</t>
  </si>
  <si>
    <t xml:space="preserve">CAMPBELL SOUP COMPANY; CAMPBELL SOUP SUPPLY COMPANY LLC; THE CAMPBELLS COMPANY</t>
  </si>
  <si>
    <t xml:space="preserve">International Paper</t>
  </si>
  <si>
    <t xml:space="preserve">INTERNATIONAL PAPER</t>
  </si>
  <si>
    <t xml:space="preserve">Primoris Services</t>
  </si>
  <si>
    <t xml:space="preserve">PRIMORIS RENEWABLE ENERGY INC; PRIMORIS SYSTEMS LLC</t>
  </si>
  <si>
    <t xml:space="preserve">United Airlines Holdings</t>
  </si>
  <si>
    <t xml:space="preserve">UNITED AIRLINES INC</t>
  </si>
  <si>
    <t xml:space="preserve">Energy Transfer</t>
  </si>
  <si>
    <t xml:space="preserve">ENERGY TRANSFER PARTNERS L L C</t>
  </si>
  <si>
    <t xml:space="preserve">Graphic Packaging Holding</t>
  </si>
  <si>
    <t xml:space="preserve">GRAPHIC PACKAGING INTERNATIONAL LLC</t>
  </si>
  <si>
    <t xml:space="preserve">Aflac</t>
  </si>
  <si>
    <t xml:space="preserve">AFLAC ASSET MANAGEMENT LLC; AFLAC INCORPORATED</t>
  </si>
  <si>
    <t xml:space="preserve">Welltower</t>
  </si>
  <si>
    <t xml:space="preserve">WELLTOWER INC</t>
  </si>
  <si>
    <t xml:space="preserve">Henry Schein</t>
  </si>
  <si>
    <t xml:space="preserve">HENRY SCHEIN INC; HENRY SCHEIN ONE LLC; HENRY SCHEIN ONE, LLC</t>
  </si>
  <si>
    <t xml:space="preserve">Vertiv Holdings</t>
  </si>
  <si>
    <t xml:space="preserve">VERTIV CORPORATION</t>
  </si>
  <si>
    <t xml:space="preserve">CMS Energy</t>
  </si>
  <si>
    <t xml:space="preserve">CONSUMERS ENERGY COMPANY</t>
  </si>
  <si>
    <t xml:space="preserve">Ameren</t>
  </si>
  <si>
    <t xml:space="preserve">AMEREN SERVICES COMPANY</t>
  </si>
  <si>
    <t xml:space="preserve">Sanmina</t>
  </si>
  <si>
    <t xml:space="preserve">SANMINA CORPORATION</t>
  </si>
  <si>
    <t xml:space="preserve">Dover</t>
  </si>
  <si>
    <t xml:space="preserve">DOVER CORPORATION; DOVER MOTION, INC.; DOVER PUMPS AND PROCESS SOLUTIONS SEGMENT INC; WAYNE FUELING SYSTEMS LLC DBA DOVER FUELING SOLUTIONS</t>
  </si>
  <si>
    <t xml:space="preserve">Prologis</t>
  </si>
  <si>
    <t xml:space="preserve">PROLOGIS MANAGEMENT LLC</t>
  </si>
  <si>
    <t xml:space="preserve">J.M. Smucker</t>
  </si>
  <si>
    <t xml:space="preserve">THE J M SMUCKER COMPANY</t>
  </si>
  <si>
    <t xml:space="preserve">United Natural Foods</t>
  </si>
  <si>
    <t xml:space="preserve">UNITED NATURAL FOODS INC</t>
  </si>
  <si>
    <t xml:space="preserve">Andersons</t>
  </si>
  <si>
    <t xml:space="preserve">THE ANDERSONS INC; THE ANDERSONS, INC.</t>
  </si>
  <si>
    <t xml:space="preserve">Dana</t>
  </si>
  <si>
    <t xml:space="preserve">DANA LIMITED</t>
  </si>
  <si>
    <t xml:space="preserve">Ingersoll Rand</t>
  </si>
  <si>
    <t xml:space="preserve">INGERSOLL-RAND INDUSTRIAL US INC</t>
  </si>
  <si>
    <t xml:space="preserve">Corebridge Financial</t>
  </si>
  <si>
    <t xml:space="preserve">COREBRIDGE INSTITUTIONAL INVESTMEN; COREBRIDGE INSTITUTIONAL INVESTMENTS HOLDINGS CORP.; COREBRIDGE INSTITUTIONAL INVESTMENTS U S LLC</t>
  </si>
  <si>
    <t xml:space="preserve">PVH</t>
  </si>
  <si>
    <t xml:space="preserve">PVH ACQUISITIONS SUB LLC; PVH CORP</t>
  </si>
  <si>
    <t xml:space="preserve">Mosaic</t>
  </si>
  <si>
    <t xml:space="preserve">MOSAIC; MOSAIC FERTILIZER, LLC; THE MOSAIC COMPANY</t>
  </si>
  <si>
    <t xml:space="preserve">Hershey</t>
  </si>
  <si>
    <t xml:space="preserve">THE HERSHEY COMPANY</t>
  </si>
  <si>
    <t xml:space="preserve">Fastenal</t>
  </si>
  <si>
    <t xml:space="preserve">FASTENAL COMPANY</t>
  </si>
  <si>
    <t xml:space="preserve">Oneok</t>
  </si>
  <si>
    <t xml:space="preserve">ONEOK SERVICES COMPANY LLC</t>
  </si>
  <si>
    <t xml:space="preserve">Ferguson Enterprises</t>
  </si>
  <si>
    <t xml:space="preserve">FERGUSON ENTERPRISES LLC</t>
  </si>
  <si>
    <t xml:space="preserve">TD Synnex</t>
  </si>
  <si>
    <t xml:space="preserve">TD SYNNEX CORPORATION</t>
  </si>
  <si>
    <t xml:space="preserve">Ross Stores</t>
  </si>
  <si>
    <t xml:space="preserve">ROSS STORES INC</t>
  </si>
  <si>
    <t xml:space="preserve">Cheniere Energy</t>
  </si>
  <si>
    <t xml:space="preserve">CHENIERE ENERGY INC</t>
  </si>
  <si>
    <t xml:space="preserve">Cincinnati Financial</t>
  </si>
  <si>
    <t xml:space="preserve">THE CINCINNATI INSURANCE COMPANY</t>
  </si>
  <si>
    <t xml:space="preserve">AutoNation</t>
  </si>
  <si>
    <t xml:space="preserve">AUTONATION INC D B A AUTONATION CORPORATE MANAGEMENT LLC; AUTONATION INC DBA AUTONATION CORPORATE MANAGEMENT LLC; AUTONATION MOBILE SERVICE INC</t>
  </si>
  <si>
    <t xml:space="preserve">Sonoco Products</t>
  </si>
  <si>
    <t xml:space="preserve">SONOCO PRODUCTS CO.</t>
  </si>
  <si>
    <t xml:space="preserve">Sysco</t>
  </si>
  <si>
    <t xml:space="preserve">SYSCO CORPORATION; SYSCO GUEST SUPPLY LLC</t>
  </si>
  <si>
    <t xml:space="preserve">Hormel Foods</t>
  </si>
  <si>
    <t xml:space="preserve">HORMEL FOODS CORPORATE SERVICES LL; HORMEL FOODS CORPORATE SERVICES LLC</t>
  </si>
  <si>
    <t xml:space="preserve">Newmont</t>
  </si>
  <si>
    <t xml:space="preserve">NEWMONT INTERNATIONAL SERVICES LIMITED</t>
  </si>
  <si>
    <t xml:space="preserve">Sempra</t>
  </si>
  <si>
    <t xml:space="preserve">SEMPRA CORPORATION DBA SEMPRA SERVICES CORPORATION</t>
  </si>
  <si>
    <t xml:space="preserve">Constellation Brands</t>
  </si>
  <si>
    <t xml:space="preserve">CONSTELLATION BRANDS INC</t>
  </si>
  <si>
    <t xml:space="preserve">Performance Food Group</t>
  </si>
  <si>
    <t xml:space="preserve">PERFORMANCE FOOD GROUP INC</t>
  </si>
  <si>
    <t xml:space="preserve">US Foods Holding</t>
  </si>
  <si>
    <t xml:space="preserve">US FOODS INC; US INTERNATIONAL FOODS LLC</t>
  </si>
  <si>
    <t xml:space="preserve">Duke Energy</t>
  </si>
  <si>
    <t xml:space="preserve">DUKE ENERGY BUSINESS SERVICES LLC; DUKE ENERGY CAROLINAS, LLC</t>
  </si>
  <si>
    <t xml:space="preserve">L3Harris Technologies</t>
  </si>
  <si>
    <t xml:space="preserve">L3HARRIS TECHNOLOGIES INC</t>
  </si>
  <si>
    <t xml:space="preserve">Textron</t>
  </si>
  <si>
    <t xml:space="preserve">TEXTRON AVIATION INC; TEXTRON SPECIALIZED VEHICLES A DIV; TEXTRON SPECIALIZED VEHICLES A DIVISION OF TEXTRON INC</t>
  </si>
  <si>
    <t xml:space="preserve">Alcoa</t>
  </si>
  <si>
    <t xml:space="preserve">ALCOA CORPORATION</t>
  </si>
  <si>
    <t xml:space="preserve">Public Service Enterprise Group</t>
  </si>
  <si>
    <t xml:space="preserve">PSEG SERVICES CORPORATION</t>
  </si>
  <si>
    <t xml:space="preserve">PPL</t>
  </si>
  <si>
    <t xml:space="preserve">PPL SERVICES CORPORATION</t>
  </si>
  <si>
    <t xml:space="preserve">ABM Industries</t>
  </si>
  <si>
    <t xml:space="preserve">ABM INDUSTRIES INCORPORATED</t>
  </si>
  <si>
    <t xml:space="preserve">HF Sinclair</t>
  </si>
  <si>
    <t xml:space="preserve">HF SINCLAIR CORPORATION; HF SINCLAIR NAVAJO REFINING LLC</t>
  </si>
  <si>
    <t xml:space="preserve">Aramark</t>
  </si>
  <si>
    <t xml:space="preserve">ARAMARK MANAGEMENT LLC; ARAMARK SERVICES INC</t>
  </si>
  <si>
    <t xml:space="preserve">Delek US Holdings</t>
  </si>
  <si>
    <t xml:space="preserve">DELEK LOGISTICS SERVICES COMPANY; DELEK US ENERGY INC</t>
  </si>
  <si>
    <t xml:space="preserve">Xcel Energy</t>
  </si>
  <si>
    <t xml:space="preserve">XCEL ENERGY SERVICES INC</t>
  </si>
  <si>
    <t xml:space="preserve">Steel Dynamics</t>
  </si>
  <si>
    <t xml:space="preserve">STEEL DYNAMICS INC; STEEL DYNAMICS SOUTHWEST LLC</t>
  </si>
  <si>
    <t xml:space="preserve">Asbury Automotive Group</t>
  </si>
  <si>
    <t xml:space="preserve">ASBURY AUTOMOTIVE GROUP INC</t>
  </si>
  <si>
    <t xml:space="preserve">PulteGroup</t>
  </si>
  <si>
    <t xml:space="preserve">PULTE HOME COMPANY LLC</t>
  </si>
  <si>
    <t xml:space="preserve">Kinder Morgan</t>
  </si>
  <si>
    <t xml:space="preserve">KINDER MORGAN INC</t>
  </si>
  <si>
    <t xml:space="preserve">Consolidated Edison</t>
  </si>
  <si>
    <t xml:space="preserve">CONSOLIDATED EDISON COMPANY OF NEW YORK INC</t>
  </si>
  <si>
    <t xml:space="preserve">Amentum Holdings</t>
  </si>
  <si>
    <t xml:space="preserve">AMENTUM SERVICES INC; AMENTUM TECHNOLOGY INC DBA JACOBS TECHNOLOGY INC</t>
  </si>
  <si>
    <t xml:space="preserve">Burlington Stores</t>
  </si>
  <si>
    <t xml:space="preserve">BURLINGTON COAT FACTORY WAREHOUSE CORPORATION</t>
  </si>
  <si>
    <t xml:space="preserve">Oshkosh</t>
  </si>
  <si>
    <t xml:space="preserve">OSHKOSH CORPORATION; OSHKOSH DEFENSE LLC</t>
  </si>
  <si>
    <t xml:space="preserve">Vulcan Materials</t>
  </si>
  <si>
    <t xml:space="preserve">VULCAN MATERIALS COMPANY</t>
  </si>
  <si>
    <t xml:space="preserve">Seaboard</t>
  </si>
  <si>
    <t xml:space="preserve">SEABOARD CORPORATION; SEABOARD ENERGY, LLC; SEABOARD FOODS LLC; SEABOARD TRIUMPH FOODS LLC</t>
  </si>
  <si>
    <t xml:space="preserve">Lithia Motors</t>
  </si>
  <si>
    <t xml:space="preserve">LITHIA MOTORS SUPPORT SERVICES INC</t>
  </si>
  <si>
    <t xml:space="preserve">Keurig Dr Pepper</t>
  </si>
  <si>
    <t xml:space="preserve">KEURIG GREEN MOUNTAIN INC</t>
  </si>
  <si>
    <t xml:space="preserve">CACI International</t>
  </si>
  <si>
    <t xml:space="preserve">CACI INC - FEDERAL</t>
  </si>
  <si>
    <t xml:space="preserve">Penske Automotive Group</t>
  </si>
  <si>
    <t xml:space="preserve">PENSKE AUTOMOTIVE GROUP INC</t>
  </si>
  <si>
    <t xml:space="preserve">Colgate-Palmolive</t>
  </si>
  <si>
    <t xml:space="preserve">COLGATE-PALMOLIVE COMPANY</t>
  </si>
  <si>
    <t xml:space="preserve">Casey's General Stores</t>
  </si>
  <si>
    <t xml:space="preserve">CASEYS RETAIL COMPANY</t>
  </si>
  <si>
    <t xml:space="preserve">Las Vegas Sands</t>
  </si>
  <si>
    <t xml:space="preserve">LAS VEGAS SANDS CORP</t>
  </si>
  <si>
    <t xml:space="preserve">Masco</t>
  </si>
  <si>
    <t xml:space="preserve">MASCO CORPORATION</t>
  </si>
  <si>
    <t xml:space="preserve">Dollar Tree</t>
  </si>
  <si>
    <t xml:space="preserve">DOLLAR TREE DISTRIBUTION INC; DOLLAR TREE MANAGEMENT LLC</t>
  </si>
  <si>
    <t xml:space="preserve">Sonic Automotive</t>
  </si>
  <si>
    <t xml:space="preserve">SONIC AUTOMOTIVE INC</t>
  </si>
  <si>
    <t xml:space="preserve">Reliance</t>
  </si>
  <si>
    <t xml:space="preserve">RELIANCE STEEL &amp; ALUMINUM CO</t>
  </si>
  <si>
    <t xml:space="preserve">Caesars Entertainment</t>
  </si>
  <si>
    <t xml:space="preserve">CAESARS ENTERPRISE SERVICES LLC</t>
  </si>
  <si>
    <t xml:space="preserve">Old Republic International</t>
  </si>
  <si>
    <t xml:space="preserve">OLD REPUBLIC GENERAL SERVICES, INC.; OLD REPUBLIC NATIONAL TITLE INSURANCE COMPANY</t>
  </si>
  <si>
    <t xml:space="preserve">Packaging Corp. of America</t>
  </si>
  <si>
    <t xml:space="preserve">PACKAGING CORPORATION OF AMERICA</t>
  </si>
  <si>
    <t xml:space="preserve">Lockheed Martin</t>
  </si>
  <si>
    <t xml:space="preserve">LOCKHEED MARTIN CORPORATION</t>
  </si>
  <si>
    <t xml:space="preserve">Plains GP Holdings</t>
  </si>
  <si>
    <t xml:space="preserve">PLAINS ALL AMERICAN GP LLC</t>
  </si>
  <si>
    <t xml:space="preserve">Philip Morris International</t>
  </si>
  <si>
    <t xml:space="preserve">PMI GLOBAL SERVICES INC</t>
  </si>
  <si>
    <t xml:space="preserve">PBF Energy</t>
  </si>
  <si>
    <t xml:space="preserve">PBF HOLDING COMPANY LLC</t>
  </si>
  <si>
    <t xml:space="preserve">Edison International</t>
  </si>
  <si>
    <t xml:space="preserve">SOUTHERN CALIFORNIA EDISON</t>
  </si>
  <si>
    <t xml:space="preserve">ManpowerGroup</t>
  </si>
  <si>
    <t xml:space="preserve">MANPOWERGROUP US INC</t>
  </si>
  <si>
    <t xml:space="preserve">Universal Health Services</t>
  </si>
  <si>
    <t xml:space="preserve">UHS OF DOVER LLC D B A DOVER BEHAVIORAL HEALTH SYSTEM</t>
  </si>
  <si>
    <t xml:space="preserve">Targa Resources</t>
  </si>
  <si>
    <t xml:space="preserve">TARGA RESOURCES LLC</t>
  </si>
  <si>
    <t xml:space="preserve">Markel Group</t>
  </si>
  <si>
    <t xml:space="preserve">MARKEL GROUP</t>
  </si>
  <si>
    <t xml:space="preserve">BrightSpring Health Services</t>
  </si>
  <si>
    <t xml:space="preserve">RES-CARE INC DBA BRIGHTSPRING HEALTH SERVICES</t>
  </si>
  <si>
    <t xml:space="preserve">Community Health Systems</t>
  </si>
  <si>
    <t xml:space="preserve">COMMUNITY HEALTH SYSTEMS INC</t>
  </si>
  <si>
    <t xml:space="preserve">Ovintiv</t>
  </si>
  <si>
    <t xml:space="preserve">OVINTIV USA INC</t>
  </si>
  <si>
    <t xml:space="preserve">Core &amp; Main</t>
  </si>
  <si>
    <t xml:space="preserve">CORE AND MAIN LP</t>
  </si>
  <si>
    <t xml:space="preserve">Somnigroup International</t>
  </si>
  <si>
    <t xml:space="preserve">TEMPUR PRODUCTION USA LLC</t>
  </si>
  <si>
    <t xml:space="preserve">Devon Energy</t>
  </si>
  <si>
    <t xml:space="preserve">DEVON ENERGY CORPORATION; DEVON ENERGY PRODUCTION COMPANY LP</t>
  </si>
  <si>
    <t xml:space="preserve">Group 1 Automotive</t>
  </si>
  <si>
    <t xml:space="preserve">GROUP 1 AUTOMOTIVE INC</t>
  </si>
  <si>
    <t xml:space="preserve">CenterPoint Energy</t>
  </si>
  <si>
    <t xml:space="preserve">CENTERPOINT ENERGY SERVICE COMPANY LLC</t>
  </si>
  <si>
    <t xml:space="preserve">Enterprise Products Partners</t>
  </si>
  <si>
    <t xml:space="preserve">Northrop Grumman</t>
  </si>
  <si>
    <t xml:space="preserve">D.R. Horton</t>
  </si>
  <si>
    <t xml:space="preserve">Southern</t>
  </si>
  <si>
    <t xml:space="preserve">Reinsurance Group of America</t>
  </si>
  <si>
    <t xml:space="preserve">Tenet Healthcare</t>
  </si>
  <si>
    <t xml:space="preserve">Global Partners</t>
  </si>
  <si>
    <t xml:space="preserve">Murphy USA</t>
  </si>
  <si>
    <t xml:space="preserve">EMCOR Group</t>
  </si>
  <si>
    <t xml:space="preserve">Principal Financial</t>
  </si>
  <si>
    <t xml:space="preserve">Builders FirstSource</t>
  </si>
  <si>
    <t xml:space="preserve">Diamondback Energy</t>
  </si>
  <si>
    <t xml:space="preserve">FirstEnergy</t>
  </si>
  <si>
    <t xml:space="preserve">Fidelity National Financial</t>
  </si>
  <si>
    <t xml:space="preserve">Estee Lauder</t>
  </si>
  <si>
    <t xml:space="preserve">LKQ</t>
  </si>
  <si>
    <t xml:space="preserve">Ball</t>
  </si>
  <si>
    <t xml:space="preserve">Huntington Ingalls Industries</t>
  </si>
  <si>
    <t xml:space="preserve">Crown Holdings</t>
  </si>
  <si>
    <t xml:space="preserve">Expand Energy</t>
  </si>
  <si>
    <t xml:space="preserve">Williams</t>
  </si>
  <si>
    <t xml:space="preserve">Chipotle Mexican Grill</t>
  </si>
  <si>
    <t xml:space="preserve">Yum China Holdings</t>
  </si>
  <si>
    <t xml:space="preserve">Gold.com</t>
  </si>
  <si>
    <t xml:space="preserve">Toll Brothers</t>
  </si>
  <si>
    <t xml:space="preserve">International Flavors &amp; Fragrances</t>
  </si>
  <si>
    <t xml:space="preserve">Accendra Health</t>
  </si>
  <si>
    <t xml:space="preserve">NVR</t>
  </si>
  <si>
    <t xml:space="preserve">NVR SOFTWARE SOLUTIONS LLC</t>
  </si>
  <si>
    <t xml:space="preserve">WEC Energy Group</t>
  </si>
  <si>
    <t xml:space="preserve">Icahn Enterprises</t>
  </si>
  <si>
    <t xml:space="preserve">Thor Industries</t>
  </si>
  <si>
    <t xml:space="preserve">APA</t>
  </si>
  <si>
    <t xml:space="preserve">Comfort Systems USA</t>
  </si>
  <si>
    <t xml:space="preserve">TransDigm Group</t>
  </si>
  <si>
    <t xml:space="preserve">Sprouts Farmers Market</t>
  </si>
  <si>
    <t xml:space="preserve">EQT</t>
  </si>
  <si>
    <t xml:space="preserve">Howmet Aerospace</t>
  </si>
  <si>
    <t xml:space="preserve">Post Holdings</t>
  </si>
  <si>
    <t xml:space="preserve">Taylor Morrison Home</t>
  </si>
  <si>
    <t xml:space="preserve">APi Group</t>
  </si>
  <si>
    <t xml:space="preserve">Roper Technologies</t>
  </si>
  <si>
    <t xml:space="preserve">Commercial Metals</t>
  </si>
</sst>
</file>

<file path=xl/styles.xml><?xml version="1.0" encoding="utf-8"?>
<styleSheet xmlns="http://schemas.openxmlformats.org/spreadsheetml/2006/main">
  <numFmts count="3">
    <numFmt numFmtId="164" formatCode="General"/>
    <numFmt numFmtId="165" formatCode="#,##0"/>
    <numFmt numFmtId="166" formatCode="0.0%"/>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3"/>
      <name val="Arial"/>
      <family val="0"/>
      <charset val="1"/>
    </font>
    <font>
      <b val="true"/>
      <sz val="10"/>
      <color rgb="FFFFFFFF"/>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2F2F2"/>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5" fontId="5" fillId="3" borderId="0" xfId="0" applyFont="true" applyBorder="false" applyAlignment="false" applyProtection="false">
      <alignment horizontal="general" vertical="bottom" textRotation="0" wrapText="false" indent="0" shrinkToFit="false"/>
      <protection locked="true" hidden="false"/>
    </xf>
    <xf numFmtId="166" fontId="5" fillId="3"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23.8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row>
    <row r="8" customFormat="false" ht="15" hidden="false" customHeight="false" outlineLevel="0" collapsed="false">
      <c r="A8" s="3" t="s">
        <v>5</v>
      </c>
    </row>
    <row r="9" customFormat="false" ht="23.85" hidden="false" customHeight="false" outlineLevel="0" collapsed="false">
      <c r="A9" s="2" t="s">
        <v>6</v>
      </c>
    </row>
    <row r="10" customFormat="false" ht="23.85" hidden="false" customHeight="false" outlineLevel="0" collapsed="false">
      <c r="A10" s="2" t="s">
        <v>7</v>
      </c>
    </row>
    <row r="11" customFormat="false" ht="15" hidden="false" customHeight="false" outlineLevel="0" collapsed="false">
      <c r="A11" s="2"/>
    </row>
    <row r="12" customFormat="false" ht="15" hidden="false" customHeight="false" outlineLevel="0" collapsed="false">
      <c r="A12" s="3" t="s">
        <v>8</v>
      </c>
    </row>
    <row r="13" customFormat="false" ht="23.85" hidden="false" customHeight="false" outlineLevel="0" collapsed="false">
      <c r="A13" s="2" t="s">
        <v>9</v>
      </c>
    </row>
    <row r="14" customFormat="false" ht="35.05" hidden="false" customHeight="false" outlineLevel="0" collapsed="false">
      <c r="A14" s="2" t="s">
        <v>10</v>
      </c>
    </row>
    <row r="15" customFormat="false" ht="35.05" hidden="false" customHeight="false" outlineLevel="0" collapsed="false">
      <c r="A15" s="2" t="s">
        <v>11</v>
      </c>
    </row>
    <row r="16" customFormat="false" ht="23.85" hidden="false" customHeight="false" outlineLevel="0" collapsed="false">
      <c r="A16" s="2" t="s">
        <v>12</v>
      </c>
    </row>
    <row r="17" customFormat="false" ht="15" hidden="false" customHeight="false" outlineLevel="0" collapsed="false">
      <c r="A17" s="2" t="s">
        <v>13</v>
      </c>
    </row>
    <row r="18" customFormat="false" ht="15" hidden="false" customHeight="false" outlineLevel="0" collapsed="false">
      <c r="A18" s="2"/>
    </row>
    <row r="19" customFormat="false" ht="15" hidden="false" customHeight="false" outlineLevel="0" collapsed="false">
      <c r="A19" s="3" t="s">
        <v>14</v>
      </c>
    </row>
    <row r="20" customFormat="false" ht="15" hidden="false" customHeight="false" outlineLevel="0" collapsed="false">
      <c r="A20" s="2" t="s">
        <v>15</v>
      </c>
    </row>
    <row r="21" customFormat="false" ht="15" hidden="false" customHeight="false" outlineLevel="0" collapsed="false">
      <c r="A21" s="2"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4"/>
    <col collapsed="false" customWidth="true" hidden="false" outlineLevel="0" max="4" min="3" style="0" width="14"/>
    <col collapsed="false" customWidth="true" hidden="false" outlineLevel="0" max="5" min="5" style="0" width="13"/>
    <col collapsed="false" customWidth="true" hidden="false" outlineLevel="0" max="6" min="6" style="0" width="11"/>
    <col collapsed="false" customWidth="true" hidden="false" outlineLevel="0" max="8" min="7" style="0" width="14"/>
    <col collapsed="false" customWidth="true" hidden="false" outlineLevel="0" max="9" min="9" style="0" width="13"/>
    <col collapsed="false" customWidth="true" hidden="false" outlineLevel="0" max="10" min="10" style="0" width="11"/>
    <col collapsed="false" customWidth="true" hidden="false" outlineLevel="0" max="11" min="11" style="0" width="12"/>
    <col collapsed="false" customWidth="true" hidden="false" outlineLevel="0" max="12" min="12" style="0" width="10"/>
    <col collapsed="false" customWidth="true" hidden="false" outlineLevel="0" max="13" min="13" style="0" width="80"/>
  </cols>
  <sheetData>
    <row r="1" customFormat="false" ht="16.15" hidden="false" customHeight="false" outlineLevel="0" collapsed="false">
      <c r="A1" s="4" t="s">
        <v>17</v>
      </c>
    </row>
    <row r="2" customFormat="false" ht="15" hidden="false" customHeight="false" outlineLevel="0" collapsed="false">
      <c r="A2" s="5" t="s">
        <v>18</v>
      </c>
      <c r="B2" s="6" t="n">
        <f aca="false">COUNTA('All F500'!B2:B1000)</f>
        <v>471</v>
      </c>
    </row>
    <row r="3" customFormat="false" ht="15" hidden="false" customHeight="false" outlineLevel="0" collapsed="false">
      <c r="A3" s="5" t="s">
        <v>19</v>
      </c>
      <c r="B3" s="6" t="n">
        <f aca="false">COUNTIF('All F500'!L2:L1000,"Yes")</f>
        <v>429</v>
      </c>
    </row>
    <row r="4" customFormat="false" ht="15" hidden="false" customHeight="false" outlineLevel="0" collapsed="false">
      <c r="A4" s="5" t="s">
        <v>20</v>
      </c>
      <c r="B4" s="6" t="n">
        <f aca="false">COUNTIF('All F500'!E2:E1000,"&gt;0")</f>
        <v>426</v>
      </c>
    </row>
    <row r="5" customFormat="false" ht="15" hidden="false" customHeight="false" outlineLevel="0" collapsed="false">
      <c r="A5" s="5" t="s">
        <v>21</v>
      </c>
      <c r="B5" s="7" t="n">
        <f aca="false">B3/B2</f>
        <v>0.910828025477707</v>
      </c>
    </row>
    <row r="7" customFormat="false" ht="42" hidden="false" customHeight="true" outlineLevel="0" collapsed="false">
      <c r="A7" s="8" t="s">
        <v>22</v>
      </c>
      <c r="B7" s="8" t="s">
        <v>23</v>
      </c>
      <c r="C7" s="8" t="s">
        <v>24</v>
      </c>
      <c r="D7" s="8" t="s">
        <v>25</v>
      </c>
      <c r="E7" s="8" t="s">
        <v>26</v>
      </c>
      <c r="F7" s="8" t="s">
        <v>27</v>
      </c>
      <c r="G7" s="8" t="s">
        <v>28</v>
      </c>
      <c r="H7" s="8" t="s">
        <v>29</v>
      </c>
      <c r="I7" s="8" t="s">
        <v>30</v>
      </c>
      <c r="J7" s="8" t="s">
        <v>31</v>
      </c>
      <c r="K7" s="8" t="s">
        <v>32</v>
      </c>
      <c r="L7" s="8" t="s">
        <v>33</v>
      </c>
      <c r="M7" s="8" t="s">
        <v>34</v>
      </c>
    </row>
    <row r="8" customFormat="false" ht="15" hidden="false" customHeight="false" outlineLevel="0" collapsed="false">
      <c r="A8" s="9" t="n">
        <v>1</v>
      </c>
      <c r="B8" s="9" t="s">
        <v>35</v>
      </c>
      <c r="C8" s="10" t="n">
        <v>4104</v>
      </c>
      <c r="D8" s="10" t="n">
        <v>2290</v>
      </c>
      <c r="E8" s="10" t="n">
        <v>6394</v>
      </c>
      <c r="F8" s="10" t="n">
        <v>270</v>
      </c>
      <c r="G8" s="10" t="n">
        <v>1637</v>
      </c>
      <c r="H8" s="10" t="n">
        <v>1040</v>
      </c>
      <c r="I8" s="10" t="n">
        <v>2677</v>
      </c>
      <c r="J8" s="10" t="n">
        <v>51</v>
      </c>
      <c r="K8" s="11" t="n">
        <f aca="false">IF(E8+F8=0,"",E8/(E8+F8))</f>
        <v>0.959483793517407</v>
      </c>
      <c r="L8" s="9" t="str">
        <f aca="false">IF(E8+I8&gt;0,"Yes","No")</f>
        <v>Yes</v>
      </c>
      <c r="M8" s="12" t="s">
        <v>36</v>
      </c>
    </row>
    <row r="9" customFormat="false" ht="15" hidden="false" customHeight="false" outlineLevel="0" collapsed="false">
      <c r="A9" s="13" t="n">
        <v>11</v>
      </c>
      <c r="B9" s="13" t="s">
        <v>37</v>
      </c>
      <c r="C9" s="6" t="n">
        <v>1519</v>
      </c>
      <c r="D9" s="6" t="n">
        <v>1208</v>
      </c>
      <c r="E9" s="6" t="n">
        <v>2727</v>
      </c>
      <c r="F9" s="6" t="n">
        <v>113</v>
      </c>
      <c r="G9" s="6" t="n">
        <v>692</v>
      </c>
      <c r="H9" s="6" t="n">
        <v>643</v>
      </c>
      <c r="I9" s="6" t="n">
        <v>1335</v>
      </c>
      <c r="J9" s="6" t="n">
        <v>41</v>
      </c>
      <c r="K9" s="7" t="n">
        <f aca="false">IF(E9+F9=0,"",E9/(E9+F9))</f>
        <v>0.960211267605634</v>
      </c>
      <c r="L9" s="13" t="str">
        <f aca="false">IF(E9+I9&gt;0,"Yes","No")</f>
        <v>Yes</v>
      </c>
      <c r="M9" s="14" t="s">
        <v>38</v>
      </c>
    </row>
    <row r="10" customFormat="false" ht="15" hidden="false" customHeight="false" outlineLevel="0" collapsed="false">
      <c r="A10" s="9" t="n">
        <v>205</v>
      </c>
      <c r="B10" s="9" t="s">
        <v>39</v>
      </c>
      <c r="C10" s="10" t="n">
        <v>2427</v>
      </c>
      <c r="D10" s="10" t="n">
        <v>284</v>
      </c>
      <c r="E10" s="10" t="n">
        <v>2711</v>
      </c>
      <c r="F10" s="10" t="n">
        <v>70</v>
      </c>
      <c r="G10" s="10" t="n">
        <v>936</v>
      </c>
      <c r="H10" s="10" t="n">
        <v>47</v>
      </c>
      <c r="I10" s="10" t="n">
        <v>983</v>
      </c>
      <c r="J10" s="10" t="n">
        <v>15</v>
      </c>
      <c r="K10" s="11" t="n">
        <f aca="false">IF(E10+F10=0,"",E10/(E10+F10))</f>
        <v>0.974829198130169</v>
      </c>
      <c r="L10" s="9" t="str">
        <f aca="false">IF(E10+I10&gt;0,"Yes","No")</f>
        <v>Yes</v>
      </c>
      <c r="M10" s="12" t="s">
        <v>40</v>
      </c>
    </row>
    <row r="11" customFormat="false" ht="15" hidden="false" customHeight="false" outlineLevel="0" collapsed="false">
      <c r="A11" s="13" t="n">
        <v>64</v>
      </c>
      <c r="B11" s="13" t="s">
        <v>41</v>
      </c>
      <c r="C11" s="6" t="n">
        <v>1636</v>
      </c>
      <c r="D11" s="6" t="n">
        <v>551</v>
      </c>
      <c r="E11" s="6" t="n">
        <v>2187</v>
      </c>
      <c r="F11" s="6" t="n">
        <v>28</v>
      </c>
      <c r="G11" s="6" t="n">
        <v>229</v>
      </c>
      <c r="H11" s="6" t="n">
        <v>62</v>
      </c>
      <c r="I11" s="6" t="n">
        <v>291</v>
      </c>
      <c r="J11" s="6" t="n">
        <v>9</v>
      </c>
      <c r="K11" s="7" t="n">
        <f aca="false">IF(E11+F11=0,"",E11/(E11+F11))</f>
        <v>0.987358916478555</v>
      </c>
      <c r="L11" s="13" t="str">
        <f aca="false">IF(E11+I11&gt;0,"Yes","No")</f>
        <v>Yes</v>
      </c>
      <c r="M11" s="14" t="s">
        <v>42</v>
      </c>
    </row>
    <row r="12" customFormat="false" ht="15" hidden="false" customHeight="false" outlineLevel="0" collapsed="false">
      <c r="A12" s="9" t="n">
        <v>84</v>
      </c>
      <c r="B12" s="9" t="s">
        <v>43</v>
      </c>
      <c r="C12" s="10" t="n">
        <v>953</v>
      </c>
      <c r="D12" s="10" t="n">
        <v>1112</v>
      </c>
      <c r="E12" s="10" t="n">
        <v>2065</v>
      </c>
      <c r="F12" s="10" t="n">
        <v>73</v>
      </c>
      <c r="G12" s="10" t="n">
        <v>78</v>
      </c>
      <c r="H12" s="10" t="n">
        <v>76</v>
      </c>
      <c r="I12" s="10" t="n">
        <v>154</v>
      </c>
      <c r="J12" s="10" t="n">
        <v>11</v>
      </c>
      <c r="K12" s="11" t="n">
        <f aca="false">IF(E12+F12=0,"",E12/(E12+F12))</f>
        <v>0.965855940130964</v>
      </c>
      <c r="L12" s="9" t="str">
        <f aca="false">IF(E12+I12&gt;0,"Yes","No")</f>
        <v>Yes</v>
      </c>
      <c r="M12" s="12" t="s">
        <v>44</v>
      </c>
    </row>
    <row r="13" customFormat="false" ht="15" hidden="false" customHeight="false" outlineLevel="0" collapsed="false">
      <c r="A13" s="13" t="n">
        <v>4</v>
      </c>
      <c r="B13" s="13" t="s">
        <v>45</v>
      </c>
      <c r="C13" s="6" t="n">
        <v>2010</v>
      </c>
      <c r="D13" s="6" t="n">
        <v>7</v>
      </c>
      <c r="E13" s="6" t="n">
        <v>2017</v>
      </c>
      <c r="F13" s="6" t="n">
        <v>58</v>
      </c>
      <c r="G13" s="6" t="n">
        <v>498</v>
      </c>
      <c r="H13" s="6" t="n">
        <v>485</v>
      </c>
      <c r="I13" s="6" t="n">
        <v>983</v>
      </c>
      <c r="J13" s="6" t="n">
        <v>13</v>
      </c>
      <c r="K13" s="7" t="n">
        <f aca="false">IF(E13+F13=0,"",E13/(E13+F13))</f>
        <v>0.972048192771084</v>
      </c>
      <c r="L13" s="13" t="str">
        <f aca="false">IF(E13+I13&gt;0,"Yes","No")</f>
        <v>Yes</v>
      </c>
      <c r="M13" s="14" t="s">
        <v>46</v>
      </c>
    </row>
    <row r="14" customFormat="false" ht="15" hidden="false" customHeight="false" outlineLevel="0" collapsed="false">
      <c r="A14" s="9" t="n">
        <v>2</v>
      </c>
      <c r="B14" s="9" t="s">
        <v>47</v>
      </c>
      <c r="C14" s="10" t="n">
        <v>1840</v>
      </c>
      <c r="D14" s="10" t="n">
        <v>53</v>
      </c>
      <c r="E14" s="10" t="n">
        <v>1893</v>
      </c>
      <c r="F14" s="10" t="n">
        <v>12</v>
      </c>
      <c r="G14" s="10" t="n">
        <v>299</v>
      </c>
      <c r="H14" s="10" t="n">
        <v>330</v>
      </c>
      <c r="I14" s="10" t="n">
        <v>629</v>
      </c>
      <c r="J14" s="10" t="n">
        <v>6</v>
      </c>
      <c r="K14" s="11" t="n">
        <f aca="false">IF(E14+F14=0,"",E14/(E14+F14))</f>
        <v>0.993700787401575</v>
      </c>
      <c r="L14" s="9" t="str">
        <f aca="false">IF(E14+I14&gt;0,"Yes","No")</f>
        <v>Yes</v>
      </c>
      <c r="M14" s="12" t="s">
        <v>48</v>
      </c>
    </row>
    <row r="15" customFormat="false" ht="15" hidden="false" customHeight="false" outlineLevel="0" collapsed="false">
      <c r="A15" s="13" t="n">
        <v>16</v>
      </c>
      <c r="B15" s="13" t="s">
        <v>49</v>
      </c>
      <c r="C15" s="6" t="n">
        <v>1062</v>
      </c>
      <c r="D15" s="6" t="n">
        <v>705</v>
      </c>
      <c r="E15" s="6" t="n">
        <v>1767</v>
      </c>
      <c r="F15" s="6" t="n">
        <v>14</v>
      </c>
      <c r="G15" s="6" t="n">
        <v>180</v>
      </c>
      <c r="H15" s="6" t="n">
        <v>163</v>
      </c>
      <c r="I15" s="6" t="n">
        <v>343</v>
      </c>
      <c r="J15" s="6" t="n">
        <v>1</v>
      </c>
      <c r="K15" s="7" t="n">
        <f aca="false">IF(E15+F15=0,"",E15/(E15+F15))</f>
        <v>0.9921392476137</v>
      </c>
      <c r="L15" s="13" t="str">
        <f aca="false">IF(E15+I15&gt;0,"Yes","No")</f>
        <v>Yes</v>
      </c>
      <c r="M15" s="14" t="s">
        <v>50</v>
      </c>
    </row>
    <row r="16" customFormat="false" ht="15" hidden="false" customHeight="false" outlineLevel="0" collapsed="false">
      <c r="A16" s="9" t="n">
        <v>35</v>
      </c>
      <c r="B16" s="9" t="s">
        <v>51</v>
      </c>
      <c r="C16" s="10" t="n">
        <v>1134</v>
      </c>
      <c r="D16" s="10" t="n">
        <v>573</v>
      </c>
      <c r="E16" s="10" t="n">
        <v>1707</v>
      </c>
      <c r="F16" s="10" t="n">
        <v>29</v>
      </c>
      <c r="G16" s="10" t="n">
        <v>68</v>
      </c>
      <c r="H16" s="10" t="n">
        <v>80</v>
      </c>
      <c r="I16" s="10" t="n">
        <v>148</v>
      </c>
      <c r="J16" s="10" t="n">
        <v>32</v>
      </c>
      <c r="K16" s="11" t="n">
        <f aca="false">IF(E16+F16=0,"",E16/(E16+F16))</f>
        <v>0.983294930875576</v>
      </c>
      <c r="L16" s="9" t="str">
        <f aca="false">IF(E16+I16&gt;0,"Yes","No")</f>
        <v>Yes</v>
      </c>
      <c r="M16" s="12" t="s">
        <v>52</v>
      </c>
    </row>
    <row r="17" customFormat="false" ht="15" hidden="false" customHeight="false" outlineLevel="0" collapsed="false">
      <c r="A17" s="13" t="n">
        <v>105</v>
      </c>
      <c r="B17" s="13" t="s">
        <v>53</v>
      </c>
      <c r="C17" s="6" t="n">
        <v>593</v>
      </c>
      <c r="D17" s="6" t="n">
        <v>946</v>
      </c>
      <c r="E17" s="6" t="n">
        <v>1539</v>
      </c>
      <c r="F17" s="6" t="n">
        <v>23</v>
      </c>
      <c r="G17" s="6" t="n">
        <v>174</v>
      </c>
      <c r="H17" s="6" t="n">
        <v>121</v>
      </c>
      <c r="I17" s="6" t="n">
        <v>295</v>
      </c>
      <c r="J17" s="6" t="n">
        <v>13</v>
      </c>
      <c r="K17" s="7" t="n">
        <f aca="false">IF(E17+F17=0,"",E17/(E17+F17))</f>
        <v>0.985275288092189</v>
      </c>
      <c r="L17" s="13" t="str">
        <f aca="false">IF(E17+I17&gt;0,"Yes","No")</f>
        <v>Yes</v>
      </c>
      <c r="M17" s="14" t="s">
        <v>54</v>
      </c>
    </row>
    <row r="18" customFormat="false" ht="15" hidden="false" customHeight="false" outlineLevel="0" collapsed="false">
      <c r="A18" s="9" t="n">
        <v>5</v>
      </c>
      <c r="B18" s="9" t="s">
        <v>55</v>
      </c>
      <c r="C18" s="10" t="n">
        <v>1240</v>
      </c>
      <c r="D18" s="10" t="n">
        <v>208</v>
      </c>
      <c r="E18" s="10" t="n">
        <v>1448</v>
      </c>
      <c r="F18" s="10" t="n">
        <v>58</v>
      </c>
      <c r="G18" s="10" t="n">
        <v>742</v>
      </c>
      <c r="H18" s="10" t="n">
        <v>349</v>
      </c>
      <c r="I18" s="10" t="n">
        <v>1091</v>
      </c>
      <c r="J18" s="10" t="n">
        <v>20</v>
      </c>
      <c r="K18" s="11" t="n">
        <f aca="false">IF(E18+F18=0,"",E18/(E18+F18))</f>
        <v>0.961487383798141</v>
      </c>
      <c r="L18" s="9" t="str">
        <f aca="false">IF(E18+I18&gt;0,"Yes","No")</f>
        <v>Yes</v>
      </c>
      <c r="M18" s="12" t="s">
        <v>56</v>
      </c>
    </row>
    <row r="19" customFormat="false" ht="15" hidden="false" customHeight="false" outlineLevel="0" collapsed="false">
      <c r="A19" s="13" t="n">
        <v>24</v>
      </c>
      <c r="B19" s="13" t="s">
        <v>57</v>
      </c>
      <c r="C19" s="6" t="n">
        <v>630</v>
      </c>
      <c r="D19" s="6" t="n">
        <v>776</v>
      </c>
      <c r="E19" s="6" t="n">
        <v>1406</v>
      </c>
      <c r="F19" s="6" t="n">
        <v>4</v>
      </c>
      <c r="G19" s="6" t="n">
        <v>105</v>
      </c>
      <c r="H19" s="6" t="n">
        <v>234</v>
      </c>
      <c r="I19" s="6" t="n">
        <v>339</v>
      </c>
      <c r="J19" s="6" t="n">
        <v>3</v>
      </c>
      <c r="K19" s="7" t="n">
        <f aca="false">IF(E19+F19=0,"",E19/(E19+F19))</f>
        <v>0.997163120567376</v>
      </c>
      <c r="L19" s="13" t="str">
        <f aca="false">IF(E19+I19&gt;0,"Yes","No")</f>
        <v>Yes</v>
      </c>
      <c r="M19" s="14" t="s">
        <v>58</v>
      </c>
    </row>
    <row r="20" customFormat="false" ht="15" hidden="false" customHeight="false" outlineLevel="0" collapsed="false">
      <c r="A20" s="9" t="n">
        <v>6</v>
      </c>
      <c r="B20" s="9" t="s">
        <v>59</v>
      </c>
      <c r="C20" s="10" t="n">
        <v>670</v>
      </c>
      <c r="D20" s="10" t="n">
        <v>721</v>
      </c>
      <c r="E20" s="10" t="n">
        <v>1391</v>
      </c>
      <c r="F20" s="10" t="n">
        <v>14</v>
      </c>
      <c r="G20" s="10" t="n">
        <v>83</v>
      </c>
      <c r="H20" s="10" t="n">
        <v>177</v>
      </c>
      <c r="I20" s="10" t="n">
        <v>260</v>
      </c>
      <c r="J20" s="10" t="n">
        <v>1</v>
      </c>
      <c r="K20" s="11" t="n">
        <f aca="false">IF(E20+F20=0,"",E20/(E20+F20))</f>
        <v>0.990035587188612</v>
      </c>
      <c r="L20" s="9" t="str">
        <f aca="false">IF(E20+I20&gt;0,"Yes","No")</f>
        <v>Yes</v>
      </c>
      <c r="M20" s="12" t="s">
        <v>60</v>
      </c>
    </row>
    <row r="21" customFormat="false" ht="15" hidden="false" customHeight="false" outlineLevel="0" collapsed="false">
      <c r="A21" s="13" t="n">
        <v>100</v>
      </c>
      <c r="B21" s="13" t="s">
        <v>61</v>
      </c>
      <c r="C21" s="6" t="n">
        <v>546</v>
      </c>
      <c r="D21" s="6" t="n">
        <v>797</v>
      </c>
      <c r="E21" s="6" t="n">
        <v>1343</v>
      </c>
      <c r="F21" s="6" t="n">
        <v>39</v>
      </c>
      <c r="G21" s="6" t="n">
        <v>143</v>
      </c>
      <c r="H21" s="6" t="n">
        <v>110</v>
      </c>
      <c r="I21" s="6" t="n">
        <v>253</v>
      </c>
      <c r="J21" s="6" t="n">
        <v>8</v>
      </c>
      <c r="K21" s="7" t="n">
        <f aca="false">IF(E21+F21=0,"",E21/(E21+F21))</f>
        <v>0.97178002894356</v>
      </c>
      <c r="L21" s="13" t="str">
        <f aca="false">IF(E21+I21&gt;0,"Yes","No")</f>
        <v>Yes</v>
      </c>
      <c r="M21" s="14" t="s">
        <v>62</v>
      </c>
    </row>
    <row r="22" customFormat="false" ht="15" hidden="false" customHeight="false" outlineLevel="0" collapsed="false">
      <c r="A22" s="9" t="n">
        <v>78</v>
      </c>
      <c r="B22" s="9" t="s">
        <v>63</v>
      </c>
      <c r="C22" s="10" t="n">
        <v>1262</v>
      </c>
      <c r="D22" s="10" t="n">
        <v>67</v>
      </c>
      <c r="E22" s="10" t="n">
        <v>1329</v>
      </c>
      <c r="F22" s="10" t="n">
        <v>14</v>
      </c>
      <c r="G22" s="10" t="n">
        <v>287</v>
      </c>
      <c r="H22" s="10" t="n">
        <v>164</v>
      </c>
      <c r="I22" s="10" t="n">
        <v>451</v>
      </c>
      <c r="J22" s="10" t="n">
        <v>7</v>
      </c>
      <c r="K22" s="11" t="n">
        <f aca="false">IF(E22+F22=0,"",E22/(E22+F22))</f>
        <v>0.98957557706627</v>
      </c>
      <c r="L22" s="9" t="str">
        <f aca="false">IF(E22+I22&gt;0,"Yes","No")</f>
        <v>Yes</v>
      </c>
      <c r="M22" s="12" t="s">
        <v>64</v>
      </c>
    </row>
    <row r="23" customFormat="false" ht="15" hidden="false" customHeight="false" outlineLevel="0" collapsed="false">
      <c r="A23" s="13" t="n">
        <v>55</v>
      </c>
      <c r="B23" s="13" t="s">
        <v>65</v>
      </c>
      <c r="C23" s="6" t="n">
        <v>717</v>
      </c>
      <c r="D23" s="6" t="n">
        <v>388</v>
      </c>
      <c r="E23" s="6" t="n">
        <v>1105</v>
      </c>
      <c r="F23" s="6" t="n">
        <v>10</v>
      </c>
      <c r="G23" s="6" t="n">
        <v>53</v>
      </c>
      <c r="H23" s="6" t="n">
        <v>46</v>
      </c>
      <c r="I23" s="6" t="n">
        <v>99</v>
      </c>
      <c r="J23" s="6" t="n">
        <v>1</v>
      </c>
      <c r="K23" s="7" t="n">
        <f aca="false">IF(E23+F23=0,"",E23/(E23+F23))</f>
        <v>0.991031390134529</v>
      </c>
      <c r="L23" s="13" t="str">
        <f aca="false">IF(E23+I23&gt;0,"Yes","No")</f>
        <v>Yes</v>
      </c>
      <c r="M23" s="14" t="s">
        <v>66</v>
      </c>
    </row>
    <row r="24" customFormat="false" ht="15" hidden="false" customHeight="false" outlineLevel="0" collapsed="false">
      <c r="A24" s="9" t="n">
        <v>61</v>
      </c>
      <c r="B24" s="9" t="s">
        <v>67</v>
      </c>
      <c r="C24" s="10" t="n">
        <v>542</v>
      </c>
      <c r="D24" s="10" t="n">
        <v>559</v>
      </c>
      <c r="E24" s="10" t="n">
        <v>1101</v>
      </c>
      <c r="F24" s="10" t="n">
        <v>2</v>
      </c>
      <c r="G24" s="10" t="n">
        <v>93</v>
      </c>
      <c r="H24" s="10" t="n">
        <v>81</v>
      </c>
      <c r="I24" s="10" t="n">
        <v>174</v>
      </c>
      <c r="J24" s="10" t="n">
        <v>2</v>
      </c>
      <c r="K24" s="11" t="n">
        <f aca="false">IF(E24+F24=0,"",E24/(E24+F24))</f>
        <v>0.99818676337262</v>
      </c>
      <c r="L24" s="9" t="str">
        <f aca="false">IF(E24+I24&gt;0,"Yes","No")</f>
        <v>Yes</v>
      </c>
      <c r="M24" s="12" t="s">
        <v>68</v>
      </c>
    </row>
    <row r="25" customFormat="false" ht="15" hidden="false" customHeight="false" outlineLevel="0" collapsed="false">
      <c r="A25" s="13" t="n">
        <v>42</v>
      </c>
      <c r="B25" s="13" t="s">
        <v>69</v>
      </c>
      <c r="C25" s="6" t="n">
        <v>756</v>
      </c>
      <c r="D25" s="6" t="n">
        <v>335</v>
      </c>
      <c r="E25" s="6" t="n">
        <v>1091</v>
      </c>
      <c r="F25" s="6" t="n">
        <v>8</v>
      </c>
      <c r="G25" s="6" t="n">
        <v>457</v>
      </c>
      <c r="H25" s="6" t="n">
        <v>178</v>
      </c>
      <c r="I25" s="6" t="n">
        <v>635</v>
      </c>
      <c r="J25" s="6" t="n">
        <v>33</v>
      </c>
      <c r="K25" s="7" t="n">
        <f aca="false">IF(E25+F25=0,"",E25/(E25+F25))</f>
        <v>0.992720655141037</v>
      </c>
      <c r="L25" s="13" t="str">
        <f aca="false">IF(E25+I25&gt;0,"Yes","No")</f>
        <v>Yes</v>
      </c>
      <c r="M25" s="14" t="s">
        <v>70</v>
      </c>
    </row>
    <row r="26" customFormat="false" ht="15" hidden="false" customHeight="false" outlineLevel="0" collapsed="false">
      <c r="A26" s="9" t="n">
        <v>12</v>
      </c>
      <c r="B26" s="9" t="s">
        <v>71</v>
      </c>
      <c r="C26" s="10" t="n">
        <v>846</v>
      </c>
      <c r="D26" s="10" t="n">
        <v>151</v>
      </c>
      <c r="E26" s="10" t="n">
        <v>997</v>
      </c>
      <c r="F26" s="10" t="n">
        <v>15</v>
      </c>
      <c r="G26" s="10" t="n">
        <v>68</v>
      </c>
      <c r="H26" s="10" t="n">
        <v>560</v>
      </c>
      <c r="I26" s="10" t="n">
        <v>628</v>
      </c>
      <c r="J26" s="10" t="n">
        <v>6</v>
      </c>
      <c r="K26" s="11" t="n">
        <f aca="false">IF(E26+F26=0,"",E26/(E26+F26))</f>
        <v>0.985177865612648</v>
      </c>
      <c r="L26" s="9" t="str">
        <f aca="false">IF(E26+I26&gt;0,"Yes","No")</f>
        <v>Yes</v>
      </c>
      <c r="M26" s="12" t="s">
        <v>72</v>
      </c>
    </row>
    <row r="27" customFormat="false" ht="15" hidden="false" customHeight="false" outlineLevel="0" collapsed="false">
      <c r="A27" s="13" t="n">
        <v>129</v>
      </c>
      <c r="B27" s="13" t="s">
        <v>73</v>
      </c>
      <c r="C27" s="6" t="n">
        <v>547</v>
      </c>
      <c r="D27" s="6" t="n">
        <v>423</v>
      </c>
      <c r="E27" s="6" t="n">
        <v>970</v>
      </c>
      <c r="F27" s="6" t="n">
        <v>14</v>
      </c>
      <c r="G27" s="6" t="n">
        <v>153</v>
      </c>
      <c r="H27" s="6" t="n">
        <v>76</v>
      </c>
      <c r="I27" s="6" t="n">
        <v>229</v>
      </c>
      <c r="J27" s="6" t="n">
        <v>3</v>
      </c>
      <c r="K27" s="7" t="n">
        <f aca="false">IF(E27+F27=0,"",E27/(E27+F27))</f>
        <v>0.985772357723577</v>
      </c>
      <c r="L27" s="13" t="str">
        <f aca="false">IF(E27+I27&gt;0,"Yes","No")</f>
        <v>Yes</v>
      </c>
      <c r="M27" s="14" t="s">
        <v>74</v>
      </c>
    </row>
    <row r="28" customFormat="false" ht="15" hidden="false" customHeight="false" outlineLevel="0" collapsed="false">
      <c r="A28" s="9" t="n">
        <v>38</v>
      </c>
      <c r="B28" s="9" t="s">
        <v>75</v>
      </c>
      <c r="C28" s="10" t="n">
        <v>400</v>
      </c>
      <c r="D28" s="10" t="n">
        <v>536</v>
      </c>
      <c r="E28" s="10" t="n">
        <v>936</v>
      </c>
      <c r="F28" s="10" t="n">
        <v>14</v>
      </c>
      <c r="G28" s="10" t="n">
        <v>90</v>
      </c>
      <c r="H28" s="10" t="n">
        <v>70</v>
      </c>
      <c r="I28" s="10" t="n">
        <v>160</v>
      </c>
      <c r="J28" s="10" t="n">
        <v>3</v>
      </c>
      <c r="K28" s="11" t="n">
        <f aca="false">IF(E28+F28=0,"",E28/(E28+F28))</f>
        <v>0.985263157894737</v>
      </c>
      <c r="L28" s="9" t="str">
        <f aca="false">IF(E28+I28&gt;0,"Yes","No")</f>
        <v>Yes</v>
      </c>
      <c r="M28" s="12" t="s">
        <v>76</v>
      </c>
    </row>
    <row r="29" customFormat="false" ht="15" hidden="false" customHeight="false" outlineLevel="0" collapsed="false">
      <c r="A29" s="13" t="n">
        <v>219</v>
      </c>
      <c r="B29" s="13" t="s">
        <v>77</v>
      </c>
      <c r="C29" s="6" t="n">
        <v>493</v>
      </c>
      <c r="D29" s="6" t="n">
        <v>426</v>
      </c>
      <c r="E29" s="6" t="n">
        <v>919</v>
      </c>
      <c r="F29" s="6" t="n">
        <v>3</v>
      </c>
      <c r="G29" s="6" t="n">
        <v>77</v>
      </c>
      <c r="H29" s="6" t="n">
        <v>55</v>
      </c>
      <c r="I29" s="6" t="n">
        <v>132</v>
      </c>
      <c r="J29" s="6" t="n">
        <v>1</v>
      </c>
      <c r="K29" s="7" t="n">
        <f aca="false">IF(E29+F29=0,"",E29/(E29+F29))</f>
        <v>0.996746203904555</v>
      </c>
      <c r="L29" s="13" t="str">
        <f aca="false">IF(E29+I29&gt;0,"Yes","No")</f>
        <v>Yes</v>
      </c>
      <c r="M29" s="14" t="s">
        <v>78</v>
      </c>
    </row>
    <row r="30" customFormat="false" ht="15" hidden="false" customHeight="false" outlineLevel="0" collapsed="false">
      <c r="A30" s="9" t="n">
        <v>23</v>
      </c>
      <c r="B30" s="9" t="s">
        <v>79</v>
      </c>
      <c r="C30" s="10" t="n">
        <v>301</v>
      </c>
      <c r="D30" s="10" t="n">
        <v>604</v>
      </c>
      <c r="E30" s="10" t="n">
        <v>905</v>
      </c>
      <c r="F30" s="10" t="n">
        <v>13</v>
      </c>
      <c r="G30" s="10" t="n">
        <v>116</v>
      </c>
      <c r="H30" s="10" t="n">
        <v>88</v>
      </c>
      <c r="I30" s="10" t="n">
        <v>204</v>
      </c>
      <c r="J30" s="10" t="n">
        <v>2</v>
      </c>
      <c r="K30" s="11" t="n">
        <f aca="false">IF(E30+F30=0,"",E30/(E30+F30))</f>
        <v>0.985838779956427</v>
      </c>
      <c r="L30" s="9" t="str">
        <f aca="false">IF(E30+I30&gt;0,"Yes","No")</f>
        <v>Yes</v>
      </c>
      <c r="M30" s="12" t="s">
        <v>80</v>
      </c>
    </row>
    <row r="31" customFormat="false" ht="15" hidden="false" customHeight="false" outlineLevel="0" collapsed="false">
      <c r="A31" s="13" t="n">
        <v>88</v>
      </c>
      <c r="B31" s="13" t="s">
        <v>81</v>
      </c>
      <c r="C31" s="6" t="n">
        <v>474</v>
      </c>
      <c r="D31" s="6" t="n">
        <v>393</v>
      </c>
      <c r="E31" s="6" t="n">
        <v>867</v>
      </c>
      <c r="F31" s="6" t="n">
        <v>6</v>
      </c>
      <c r="G31" s="6" t="n">
        <v>92</v>
      </c>
      <c r="H31" s="6" t="n">
        <v>36</v>
      </c>
      <c r="I31" s="6" t="n">
        <v>128</v>
      </c>
      <c r="J31" s="6" t="n">
        <v>1</v>
      </c>
      <c r="K31" s="7" t="n">
        <f aca="false">IF(E31+F31=0,"",E31/(E31+F31))</f>
        <v>0.993127147766323</v>
      </c>
      <c r="L31" s="13" t="str">
        <f aca="false">IF(E31+I31&gt;0,"Yes","No")</f>
        <v>Yes</v>
      </c>
      <c r="M31" s="14" t="s">
        <v>82</v>
      </c>
    </row>
    <row r="32" customFormat="false" ht="15" hidden="false" customHeight="false" outlineLevel="0" collapsed="false">
      <c r="A32" s="9" t="n">
        <v>22</v>
      </c>
      <c r="B32" s="9" t="s">
        <v>83</v>
      </c>
      <c r="C32" s="10" t="n">
        <v>389</v>
      </c>
      <c r="D32" s="10" t="n">
        <v>443</v>
      </c>
      <c r="E32" s="10" t="n">
        <v>832</v>
      </c>
      <c r="F32" s="10" t="n">
        <v>22</v>
      </c>
      <c r="G32" s="10" t="n">
        <v>102</v>
      </c>
      <c r="H32" s="10" t="n">
        <v>54</v>
      </c>
      <c r="I32" s="10" t="n">
        <v>156</v>
      </c>
      <c r="J32" s="10" t="n">
        <v>5</v>
      </c>
      <c r="K32" s="11" t="n">
        <f aca="false">IF(E32+F32=0,"",E32/(E32+F32))</f>
        <v>0.97423887587822</v>
      </c>
      <c r="L32" s="9" t="str">
        <f aca="false">IF(E32+I32&gt;0,"Yes","No")</f>
        <v>Yes</v>
      </c>
      <c r="M32" s="12" t="s">
        <v>84</v>
      </c>
    </row>
    <row r="33" customFormat="false" ht="15" hidden="false" customHeight="false" outlineLevel="0" collapsed="false">
      <c r="A33" s="13" t="n">
        <v>101</v>
      </c>
      <c r="B33" s="13" t="s">
        <v>85</v>
      </c>
      <c r="C33" s="6" t="n">
        <v>385</v>
      </c>
      <c r="D33" s="6" t="n">
        <v>418</v>
      </c>
      <c r="E33" s="6" t="n">
        <v>803</v>
      </c>
      <c r="F33" s="6" t="n">
        <v>11</v>
      </c>
      <c r="G33" s="6" t="n">
        <v>64</v>
      </c>
      <c r="H33" s="6" t="n">
        <v>69</v>
      </c>
      <c r="I33" s="6" t="n">
        <v>133</v>
      </c>
      <c r="J33" s="6" t="n">
        <v>1</v>
      </c>
      <c r="K33" s="7" t="n">
        <f aca="false">IF(E33+F33=0,"",E33/(E33+F33))</f>
        <v>0.986486486486487</v>
      </c>
      <c r="L33" s="13" t="str">
        <f aca="false">IF(E33+I33&gt;0,"Yes","No")</f>
        <v>Yes</v>
      </c>
      <c r="M33" s="14" t="s">
        <v>86</v>
      </c>
    </row>
    <row r="34" customFormat="false" ht="15" hidden="false" customHeight="false" outlineLevel="0" collapsed="false">
      <c r="A34" s="9" t="n">
        <v>181</v>
      </c>
      <c r="B34" s="9" t="s">
        <v>87</v>
      </c>
      <c r="C34" s="10" t="n">
        <v>342</v>
      </c>
      <c r="D34" s="10" t="n">
        <v>435</v>
      </c>
      <c r="E34" s="10" t="n">
        <v>777</v>
      </c>
      <c r="F34" s="10" t="n">
        <v>21</v>
      </c>
      <c r="G34" s="10" t="n">
        <v>73</v>
      </c>
      <c r="H34" s="10" t="n">
        <v>46</v>
      </c>
      <c r="I34" s="10" t="n">
        <v>119</v>
      </c>
      <c r="J34" s="10" t="n">
        <v>2</v>
      </c>
      <c r="K34" s="11" t="n">
        <f aca="false">IF(E34+F34=0,"",E34/(E34+F34))</f>
        <v>0.973684210526316</v>
      </c>
      <c r="L34" s="9" t="str">
        <f aca="false">IF(E34+I34&gt;0,"Yes","No")</f>
        <v>Yes</v>
      </c>
      <c r="M34" s="12" t="s">
        <v>88</v>
      </c>
    </row>
    <row r="35" customFormat="false" ht="15" hidden="false" customHeight="false" outlineLevel="0" collapsed="false">
      <c r="A35" s="13" t="n">
        <v>121</v>
      </c>
      <c r="B35" s="13" t="s">
        <v>89</v>
      </c>
      <c r="C35" s="6" t="n">
        <v>378</v>
      </c>
      <c r="D35" s="6" t="n">
        <v>364</v>
      </c>
      <c r="E35" s="6" t="n">
        <v>742</v>
      </c>
      <c r="F35" s="6" t="n">
        <v>10</v>
      </c>
      <c r="G35" s="6" t="n">
        <v>51</v>
      </c>
      <c r="H35" s="6" t="n">
        <v>33</v>
      </c>
      <c r="I35" s="6" t="n">
        <v>84</v>
      </c>
      <c r="J35" s="6" t="n">
        <v>2</v>
      </c>
      <c r="K35" s="7" t="n">
        <f aca="false">IF(E35+F35=0,"",E35/(E35+F35))</f>
        <v>0.986702127659574</v>
      </c>
      <c r="L35" s="13" t="str">
        <f aca="false">IF(E35+I35&gt;0,"Yes","No")</f>
        <v>Yes</v>
      </c>
      <c r="M35" s="14" t="s">
        <v>90</v>
      </c>
    </row>
    <row r="36" customFormat="false" ht="15" hidden="false" customHeight="false" outlineLevel="0" collapsed="false">
      <c r="A36" s="9" t="n">
        <v>20</v>
      </c>
      <c r="B36" s="9" t="s">
        <v>91</v>
      </c>
      <c r="C36" s="10" t="n">
        <v>194</v>
      </c>
      <c r="D36" s="10" t="n">
        <v>537</v>
      </c>
      <c r="E36" s="10" t="n">
        <v>731</v>
      </c>
      <c r="F36" s="10" t="n">
        <v>2</v>
      </c>
      <c r="G36" s="10" t="n">
        <v>53</v>
      </c>
      <c r="H36" s="10" t="n">
        <v>72</v>
      </c>
      <c r="I36" s="10" t="n">
        <v>125</v>
      </c>
      <c r="J36" s="10" t="n">
        <v>0</v>
      </c>
      <c r="K36" s="11" t="n">
        <f aca="false">IF(E36+F36=0,"",E36/(E36+F36))</f>
        <v>0.997271487039564</v>
      </c>
      <c r="L36" s="9" t="str">
        <f aca="false">IF(E36+I36&gt;0,"Yes","No")</f>
        <v>Yes</v>
      </c>
      <c r="M36" s="12" t="s">
        <v>92</v>
      </c>
    </row>
    <row r="37" customFormat="false" ht="15" hidden="false" customHeight="false" outlineLevel="0" collapsed="false">
      <c r="A37" s="13" t="n">
        <v>311</v>
      </c>
      <c r="B37" s="13" t="s">
        <v>93</v>
      </c>
      <c r="C37" s="6" t="n">
        <v>230</v>
      </c>
      <c r="D37" s="6" t="n">
        <v>422</v>
      </c>
      <c r="E37" s="6" t="n">
        <v>652</v>
      </c>
      <c r="F37" s="6" t="n">
        <v>15</v>
      </c>
      <c r="G37" s="6" t="n">
        <v>41</v>
      </c>
      <c r="H37" s="6" t="n">
        <v>85</v>
      </c>
      <c r="I37" s="6" t="n">
        <v>126</v>
      </c>
      <c r="J37" s="6" t="n">
        <v>8</v>
      </c>
      <c r="K37" s="7" t="n">
        <f aca="false">IF(E37+F37=0,"",E37/(E37+F37))</f>
        <v>0.977511244377811</v>
      </c>
      <c r="L37" s="13" t="str">
        <f aca="false">IF(E37+I37&gt;0,"Yes","No")</f>
        <v>Yes</v>
      </c>
      <c r="M37" s="14" t="s">
        <v>94</v>
      </c>
    </row>
    <row r="38" customFormat="false" ht="15" hidden="false" customHeight="false" outlineLevel="0" collapsed="false">
      <c r="A38" s="9" t="n">
        <v>36</v>
      </c>
      <c r="B38" s="9" t="s">
        <v>95</v>
      </c>
      <c r="C38" s="10" t="n">
        <v>182</v>
      </c>
      <c r="D38" s="10" t="n">
        <v>452</v>
      </c>
      <c r="E38" s="10" t="n">
        <v>634</v>
      </c>
      <c r="F38" s="10" t="n">
        <v>8</v>
      </c>
      <c r="G38" s="10" t="n">
        <v>36</v>
      </c>
      <c r="H38" s="10" t="n">
        <v>96</v>
      </c>
      <c r="I38" s="10" t="n">
        <v>132</v>
      </c>
      <c r="J38" s="10" t="n">
        <v>0</v>
      </c>
      <c r="K38" s="11" t="n">
        <f aca="false">IF(E38+F38=0,"",E38/(E38+F38))</f>
        <v>0.987538940809969</v>
      </c>
      <c r="L38" s="9" t="str">
        <f aca="false">IF(E38+I38&gt;0,"Yes","No")</f>
        <v>Yes</v>
      </c>
      <c r="M38" s="12" t="s">
        <v>96</v>
      </c>
    </row>
    <row r="39" customFormat="false" ht="15" hidden="false" customHeight="false" outlineLevel="0" collapsed="false">
      <c r="A39" s="13" t="n">
        <v>127</v>
      </c>
      <c r="B39" s="13" t="s">
        <v>97</v>
      </c>
      <c r="C39" s="6" t="n">
        <v>260</v>
      </c>
      <c r="D39" s="6" t="n">
        <v>372</v>
      </c>
      <c r="E39" s="6" t="n">
        <v>632</v>
      </c>
      <c r="F39" s="6" t="n">
        <v>16</v>
      </c>
      <c r="G39" s="6" t="n">
        <v>104</v>
      </c>
      <c r="H39" s="6" t="n">
        <v>85</v>
      </c>
      <c r="I39" s="6" t="n">
        <v>189</v>
      </c>
      <c r="J39" s="6" t="n">
        <v>3</v>
      </c>
      <c r="K39" s="7" t="n">
        <f aca="false">IF(E39+F39=0,"",E39/(E39+F39))</f>
        <v>0.975308641975309</v>
      </c>
      <c r="L39" s="13" t="str">
        <f aca="false">IF(E39+I39&gt;0,"Yes","No")</f>
        <v>Yes</v>
      </c>
      <c r="M39" s="14" t="s">
        <v>98</v>
      </c>
    </row>
    <row r="40" customFormat="false" ht="15" hidden="false" customHeight="false" outlineLevel="0" collapsed="false">
      <c r="A40" s="9" t="n">
        <v>130</v>
      </c>
      <c r="B40" s="9" t="s">
        <v>99</v>
      </c>
      <c r="C40" s="10" t="n">
        <v>523</v>
      </c>
      <c r="D40" s="10" t="n">
        <v>96</v>
      </c>
      <c r="E40" s="10" t="n">
        <v>619</v>
      </c>
      <c r="F40" s="10" t="n">
        <v>3</v>
      </c>
      <c r="G40" s="10" t="n">
        <v>65</v>
      </c>
      <c r="H40" s="10" t="n">
        <v>11</v>
      </c>
      <c r="I40" s="10" t="n">
        <v>76</v>
      </c>
      <c r="J40" s="10" t="n">
        <v>0</v>
      </c>
      <c r="K40" s="11" t="n">
        <f aca="false">IF(E40+F40=0,"",E40/(E40+F40))</f>
        <v>0.995176848874598</v>
      </c>
      <c r="L40" s="9" t="str">
        <f aca="false">IF(E40+I40&gt;0,"Yes","No")</f>
        <v>Yes</v>
      </c>
      <c r="M40" s="12" t="s">
        <v>100</v>
      </c>
    </row>
    <row r="41" customFormat="false" ht="15" hidden="false" customHeight="false" outlineLevel="0" collapsed="false">
      <c r="A41" s="13" t="n">
        <v>3</v>
      </c>
      <c r="B41" s="13" t="s">
        <v>101</v>
      </c>
      <c r="C41" s="6" t="n">
        <v>160</v>
      </c>
      <c r="D41" s="6" t="n">
        <v>447</v>
      </c>
      <c r="E41" s="6" t="n">
        <v>607</v>
      </c>
      <c r="F41" s="6" t="n">
        <v>2</v>
      </c>
      <c r="G41" s="6" t="n">
        <v>27</v>
      </c>
      <c r="H41" s="6" t="n">
        <v>94</v>
      </c>
      <c r="I41" s="6" t="n">
        <v>121</v>
      </c>
      <c r="J41" s="6" t="n">
        <v>4</v>
      </c>
      <c r="K41" s="7" t="n">
        <f aca="false">IF(E41+F41=0,"",E41/(E41+F41))</f>
        <v>0.996715927750411</v>
      </c>
      <c r="L41" s="13" t="str">
        <f aca="false">IF(E41+I41&gt;0,"Yes","No")</f>
        <v>Yes</v>
      </c>
      <c r="M41" s="14" t="s">
        <v>102</v>
      </c>
    </row>
    <row r="42" customFormat="false" ht="15" hidden="false" customHeight="false" outlineLevel="0" collapsed="false">
      <c r="A42" s="9" t="n">
        <v>37</v>
      </c>
      <c r="B42" s="9" t="s">
        <v>103</v>
      </c>
      <c r="C42" s="10" t="n">
        <v>257</v>
      </c>
      <c r="D42" s="10" t="n">
        <v>338</v>
      </c>
      <c r="E42" s="10" t="n">
        <v>595</v>
      </c>
      <c r="F42" s="10" t="n">
        <v>2</v>
      </c>
      <c r="G42" s="10" t="n">
        <v>34</v>
      </c>
      <c r="H42" s="10" t="n">
        <v>68</v>
      </c>
      <c r="I42" s="10" t="n">
        <v>102</v>
      </c>
      <c r="J42" s="10" t="n">
        <v>0</v>
      </c>
      <c r="K42" s="11" t="n">
        <f aca="false">IF(E42+F42=0,"",E42/(E42+F42))</f>
        <v>0.996649916247906</v>
      </c>
      <c r="L42" s="9" t="str">
        <f aca="false">IF(E42+I42&gt;0,"Yes","No")</f>
        <v>Yes</v>
      </c>
      <c r="M42" s="12" t="s">
        <v>104</v>
      </c>
    </row>
    <row r="43" customFormat="false" ht="15" hidden="false" customHeight="false" outlineLevel="0" collapsed="false">
      <c r="A43" s="13" t="n">
        <v>411</v>
      </c>
      <c r="B43" s="13" t="s">
        <v>105</v>
      </c>
      <c r="C43" s="6" t="n">
        <v>285</v>
      </c>
      <c r="D43" s="6" t="n">
        <v>297</v>
      </c>
      <c r="E43" s="6" t="n">
        <v>582</v>
      </c>
      <c r="F43" s="6" t="n">
        <v>7</v>
      </c>
      <c r="G43" s="6" t="n">
        <v>84</v>
      </c>
      <c r="H43" s="6" t="n">
        <v>46</v>
      </c>
      <c r="I43" s="6" t="n">
        <v>130</v>
      </c>
      <c r="J43" s="6" t="n">
        <v>5</v>
      </c>
      <c r="K43" s="7" t="n">
        <f aca="false">IF(E43+F43=0,"",E43/(E43+F43))</f>
        <v>0.98811544991511</v>
      </c>
      <c r="L43" s="13" t="str">
        <f aca="false">IF(E43+I43&gt;0,"Yes","No")</f>
        <v>Yes</v>
      </c>
      <c r="M43" s="14" t="s">
        <v>106</v>
      </c>
    </row>
    <row r="44" customFormat="false" ht="15" hidden="false" customHeight="false" outlineLevel="0" collapsed="false">
      <c r="A44" s="9" t="n">
        <v>154</v>
      </c>
      <c r="B44" s="9" t="s">
        <v>107</v>
      </c>
      <c r="C44" s="10" t="n">
        <v>148</v>
      </c>
      <c r="D44" s="10" t="n">
        <v>427</v>
      </c>
      <c r="E44" s="10" t="n">
        <v>575</v>
      </c>
      <c r="F44" s="10" t="n">
        <v>5</v>
      </c>
      <c r="G44" s="10" t="n">
        <v>13</v>
      </c>
      <c r="H44" s="10" t="n">
        <v>74</v>
      </c>
      <c r="I44" s="10" t="n">
        <v>87</v>
      </c>
      <c r="J44" s="10" t="n">
        <v>1</v>
      </c>
      <c r="K44" s="11" t="n">
        <f aca="false">IF(E44+F44=0,"",E44/(E44+F44))</f>
        <v>0.991379310344828</v>
      </c>
      <c r="L44" s="9" t="str">
        <f aca="false">IF(E44+I44&gt;0,"Yes","No")</f>
        <v>Yes</v>
      </c>
      <c r="M44" s="12" t="s">
        <v>108</v>
      </c>
    </row>
    <row r="45" customFormat="false" ht="15" hidden="false" customHeight="false" outlineLevel="0" collapsed="false">
      <c r="A45" s="13" t="n">
        <v>17</v>
      </c>
      <c r="B45" s="13" t="s">
        <v>109</v>
      </c>
      <c r="C45" s="6" t="n">
        <v>446</v>
      </c>
      <c r="D45" s="6" t="n">
        <v>124</v>
      </c>
      <c r="E45" s="6" t="n">
        <v>570</v>
      </c>
      <c r="F45" s="6" t="n">
        <v>59</v>
      </c>
      <c r="G45" s="6" t="n">
        <v>456</v>
      </c>
      <c r="H45" s="6" t="n">
        <v>242</v>
      </c>
      <c r="I45" s="6" t="n">
        <v>698</v>
      </c>
      <c r="J45" s="6" t="n">
        <v>9</v>
      </c>
      <c r="K45" s="7" t="n">
        <f aca="false">IF(E45+F45=0,"",E45/(E45+F45))</f>
        <v>0.906200317965024</v>
      </c>
      <c r="L45" s="13" t="str">
        <f aca="false">IF(E45+I45&gt;0,"Yes","No")</f>
        <v>Yes</v>
      </c>
      <c r="M45" s="14" t="s">
        <v>110</v>
      </c>
    </row>
    <row r="46" customFormat="false" ht="15" hidden="false" customHeight="false" outlineLevel="0" collapsed="false">
      <c r="A46" s="9" t="n">
        <v>49</v>
      </c>
      <c r="B46" s="9" t="s">
        <v>111</v>
      </c>
      <c r="C46" s="10" t="n">
        <v>296</v>
      </c>
      <c r="D46" s="10" t="n">
        <v>240</v>
      </c>
      <c r="E46" s="10" t="n">
        <v>536</v>
      </c>
      <c r="F46" s="10" t="n">
        <v>2</v>
      </c>
      <c r="G46" s="10" t="n">
        <v>53</v>
      </c>
      <c r="H46" s="10" t="n">
        <v>69</v>
      </c>
      <c r="I46" s="10" t="n">
        <v>122</v>
      </c>
      <c r="J46" s="10" t="n">
        <v>1</v>
      </c>
      <c r="K46" s="11" t="n">
        <f aca="false">IF(E46+F46=0,"",E46/(E46+F46))</f>
        <v>0.996282527881041</v>
      </c>
      <c r="L46" s="9" t="str">
        <f aca="false">IF(E46+I46&gt;0,"Yes","No")</f>
        <v>Yes</v>
      </c>
      <c r="M46" s="12" t="s">
        <v>112</v>
      </c>
    </row>
    <row r="47" customFormat="false" ht="15" hidden="false" customHeight="false" outlineLevel="0" collapsed="false">
      <c r="A47" s="13" t="n">
        <v>116</v>
      </c>
      <c r="B47" s="13" t="s">
        <v>113</v>
      </c>
      <c r="C47" s="6" t="n">
        <v>325</v>
      </c>
      <c r="D47" s="6" t="n">
        <v>199</v>
      </c>
      <c r="E47" s="6" t="n">
        <v>524</v>
      </c>
      <c r="F47" s="6" t="n">
        <v>9</v>
      </c>
      <c r="G47" s="6" t="n">
        <v>18</v>
      </c>
      <c r="H47" s="6" t="n">
        <v>18</v>
      </c>
      <c r="I47" s="6" t="n">
        <v>36</v>
      </c>
      <c r="J47" s="6" t="n">
        <v>5</v>
      </c>
      <c r="K47" s="7" t="n">
        <f aca="false">IF(E47+F47=0,"",E47/(E47+F47))</f>
        <v>0.983114446529081</v>
      </c>
      <c r="L47" s="13" t="str">
        <f aca="false">IF(E47+I47&gt;0,"Yes","No")</f>
        <v>Yes</v>
      </c>
      <c r="M47" s="14" t="s">
        <v>114</v>
      </c>
    </row>
    <row r="48" customFormat="false" ht="15" hidden="false" customHeight="false" outlineLevel="0" collapsed="false">
      <c r="A48" s="9" t="n">
        <v>79</v>
      </c>
      <c r="B48" s="9" t="s">
        <v>115</v>
      </c>
      <c r="C48" s="10" t="n">
        <v>447</v>
      </c>
      <c r="D48" s="10" t="n">
        <v>74</v>
      </c>
      <c r="E48" s="10" t="n">
        <v>521</v>
      </c>
      <c r="F48" s="10" t="n">
        <v>23</v>
      </c>
      <c r="G48" s="10" t="n">
        <v>127</v>
      </c>
      <c r="H48" s="10" t="n">
        <v>192</v>
      </c>
      <c r="I48" s="10" t="n">
        <v>319</v>
      </c>
      <c r="J48" s="10" t="n">
        <v>7</v>
      </c>
      <c r="K48" s="11" t="n">
        <f aca="false">IF(E48+F48=0,"",E48/(E48+F48))</f>
        <v>0.957720588235294</v>
      </c>
      <c r="L48" s="9" t="str">
        <f aca="false">IF(E48+I48&gt;0,"Yes","No")</f>
        <v>Yes</v>
      </c>
      <c r="M48" s="12" t="s">
        <v>116</v>
      </c>
    </row>
    <row r="49" customFormat="false" ht="15" hidden="false" customHeight="false" outlineLevel="0" collapsed="false">
      <c r="A49" s="13" t="n">
        <v>149</v>
      </c>
      <c r="B49" s="13" t="s">
        <v>117</v>
      </c>
      <c r="C49" s="6" t="n">
        <v>257</v>
      </c>
      <c r="D49" s="6" t="n">
        <v>256</v>
      </c>
      <c r="E49" s="6" t="n">
        <v>513</v>
      </c>
      <c r="F49" s="6" t="n">
        <v>8</v>
      </c>
      <c r="G49" s="6" t="n">
        <v>41</v>
      </c>
      <c r="H49" s="6" t="n">
        <v>27</v>
      </c>
      <c r="I49" s="6" t="n">
        <v>68</v>
      </c>
      <c r="J49" s="6" t="n">
        <v>2</v>
      </c>
      <c r="K49" s="7" t="n">
        <f aca="false">IF(E49+F49=0,"",E49/(E49+F49))</f>
        <v>0.984644913627639</v>
      </c>
      <c r="L49" s="13" t="str">
        <f aca="false">IF(E49+I49&gt;0,"Yes","No")</f>
        <v>Yes</v>
      </c>
      <c r="M49" s="14" t="s">
        <v>118</v>
      </c>
    </row>
    <row r="50" customFormat="false" ht="15" hidden="false" customHeight="false" outlineLevel="0" collapsed="false">
      <c r="A50" s="9" t="n">
        <v>368</v>
      </c>
      <c r="B50" s="9" t="s">
        <v>119</v>
      </c>
      <c r="C50" s="10" t="n">
        <v>186</v>
      </c>
      <c r="D50" s="10" t="n">
        <v>321</v>
      </c>
      <c r="E50" s="10" t="n">
        <v>507</v>
      </c>
      <c r="F50" s="10" t="n">
        <v>9</v>
      </c>
      <c r="G50" s="10" t="n">
        <v>34</v>
      </c>
      <c r="H50" s="10" t="n">
        <v>43</v>
      </c>
      <c r="I50" s="10" t="n">
        <v>77</v>
      </c>
      <c r="J50" s="10" t="n">
        <v>0</v>
      </c>
      <c r="K50" s="11" t="n">
        <f aca="false">IF(E50+F50=0,"",E50/(E50+F50))</f>
        <v>0.982558139534884</v>
      </c>
      <c r="L50" s="9" t="str">
        <f aca="false">IF(E50+I50&gt;0,"Yes","No")</f>
        <v>Yes</v>
      </c>
      <c r="M50" s="12" t="s">
        <v>120</v>
      </c>
    </row>
    <row r="51" customFormat="false" ht="15" hidden="false" customHeight="false" outlineLevel="0" collapsed="false">
      <c r="A51" s="13" t="n">
        <v>34</v>
      </c>
      <c r="B51" s="13" t="s">
        <v>121</v>
      </c>
      <c r="C51" s="6" t="n">
        <v>249</v>
      </c>
      <c r="D51" s="6" t="n">
        <v>253</v>
      </c>
      <c r="E51" s="6" t="n">
        <v>502</v>
      </c>
      <c r="F51" s="6" t="n">
        <v>3</v>
      </c>
      <c r="G51" s="6" t="n">
        <v>43</v>
      </c>
      <c r="H51" s="6" t="n">
        <v>31</v>
      </c>
      <c r="I51" s="6" t="n">
        <v>74</v>
      </c>
      <c r="J51" s="6" t="n">
        <v>2</v>
      </c>
      <c r="K51" s="7" t="n">
        <f aca="false">IF(E51+F51=0,"",E51/(E51+F51))</f>
        <v>0.994059405940594</v>
      </c>
      <c r="L51" s="13" t="str">
        <f aca="false">IF(E51+I51&gt;0,"Yes","No")</f>
        <v>Yes</v>
      </c>
      <c r="M51" s="14" t="s">
        <v>122</v>
      </c>
    </row>
    <row r="52" customFormat="false" ht="15" hidden="false" customHeight="false" outlineLevel="0" collapsed="false">
      <c r="A52" s="9" t="n">
        <v>207</v>
      </c>
      <c r="B52" s="9" t="s">
        <v>123</v>
      </c>
      <c r="C52" s="10" t="n">
        <v>159</v>
      </c>
      <c r="D52" s="10" t="n">
        <v>308</v>
      </c>
      <c r="E52" s="10" t="n">
        <v>467</v>
      </c>
      <c r="F52" s="10" t="n">
        <v>1</v>
      </c>
      <c r="G52" s="10" t="n">
        <v>63</v>
      </c>
      <c r="H52" s="10" t="n">
        <v>33</v>
      </c>
      <c r="I52" s="10" t="n">
        <v>96</v>
      </c>
      <c r="J52" s="10" t="n">
        <v>1</v>
      </c>
      <c r="K52" s="11" t="n">
        <f aca="false">IF(E52+F52=0,"",E52/(E52+F52))</f>
        <v>0.997863247863248</v>
      </c>
      <c r="L52" s="9" t="str">
        <f aca="false">IF(E52+I52&gt;0,"Yes","No")</f>
        <v>Yes</v>
      </c>
      <c r="M52" s="12" t="s">
        <v>124</v>
      </c>
    </row>
    <row r="53" customFormat="false" ht="15" hidden="false" customHeight="false" outlineLevel="0" collapsed="false">
      <c r="A53" s="13" t="n">
        <v>307</v>
      </c>
      <c r="B53" s="13" t="s">
        <v>125</v>
      </c>
      <c r="C53" s="6" t="n">
        <v>253</v>
      </c>
      <c r="D53" s="6" t="n">
        <v>209</v>
      </c>
      <c r="E53" s="6" t="n">
        <v>462</v>
      </c>
      <c r="F53" s="6" t="n">
        <v>8</v>
      </c>
      <c r="G53" s="6" t="n">
        <v>89</v>
      </c>
      <c r="H53" s="6" t="n">
        <v>10</v>
      </c>
      <c r="I53" s="6" t="n">
        <v>99</v>
      </c>
      <c r="J53" s="6" t="n">
        <v>2</v>
      </c>
      <c r="K53" s="7" t="n">
        <f aca="false">IF(E53+F53=0,"",E53/(E53+F53))</f>
        <v>0.982978723404255</v>
      </c>
      <c r="L53" s="13" t="str">
        <f aca="false">IF(E53+I53&gt;0,"Yes","No")</f>
        <v>Yes</v>
      </c>
      <c r="M53" s="14" t="s">
        <v>126</v>
      </c>
    </row>
    <row r="54" customFormat="false" ht="15" hidden="false" customHeight="false" outlineLevel="0" collapsed="false">
      <c r="A54" s="9" t="n">
        <v>284</v>
      </c>
      <c r="B54" s="9" t="s">
        <v>127</v>
      </c>
      <c r="C54" s="10" t="n">
        <v>151</v>
      </c>
      <c r="D54" s="10" t="n">
        <v>304</v>
      </c>
      <c r="E54" s="10" t="n">
        <v>455</v>
      </c>
      <c r="F54" s="10" t="n">
        <v>10</v>
      </c>
      <c r="G54" s="10" t="n">
        <v>61</v>
      </c>
      <c r="H54" s="10" t="n">
        <v>72</v>
      </c>
      <c r="I54" s="10" t="n">
        <v>133</v>
      </c>
      <c r="J54" s="10" t="n">
        <v>1</v>
      </c>
      <c r="K54" s="11" t="n">
        <f aca="false">IF(E54+F54=0,"",E54/(E54+F54))</f>
        <v>0.978494623655914</v>
      </c>
      <c r="L54" s="9" t="str">
        <f aca="false">IF(E54+I54&gt;0,"Yes","No")</f>
        <v>Yes</v>
      </c>
      <c r="M54" s="12" t="s">
        <v>128</v>
      </c>
    </row>
    <row r="55" customFormat="false" ht="15" hidden="false" customHeight="false" outlineLevel="0" collapsed="false">
      <c r="A55" s="13" t="n">
        <v>179</v>
      </c>
      <c r="B55" s="13" t="s">
        <v>129</v>
      </c>
      <c r="C55" s="6" t="n">
        <v>230</v>
      </c>
      <c r="D55" s="6" t="n">
        <v>224</v>
      </c>
      <c r="E55" s="6" t="n">
        <v>454</v>
      </c>
      <c r="F55" s="6" t="n">
        <v>3</v>
      </c>
      <c r="G55" s="6" t="n">
        <v>32</v>
      </c>
      <c r="H55" s="6" t="n">
        <v>30</v>
      </c>
      <c r="I55" s="6" t="n">
        <v>62</v>
      </c>
      <c r="J55" s="6" t="n">
        <v>4</v>
      </c>
      <c r="K55" s="7" t="n">
        <f aca="false">IF(E55+F55=0,"",E55/(E55+F55))</f>
        <v>0.993435448577681</v>
      </c>
      <c r="L55" s="13" t="str">
        <f aca="false">IF(E55+I55&gt;0,"Yes","No")</f>
        <v>Yes</v>
      </c>
      <c r="M55" s="14" t="s">
        <v>130</v>
      </c>
    </row>
    <row r="56" customFormat="false" ht="15" hidden="false" customHeight="false" outlineLevel="0" collapsed="false">
      <c r="A56" s="9" t="n">
        <v>18</v>
      </c>
      <c r="B56" s="9" t="s">
        <v>131</v>
      </c>
      <c r="C56" s="10" t="n">
        <v>224</v>
      </c>
      <c r="D56" s="10" t="n">
        <v>215</v>
      </c>
      <c r="E56" s="10" t="n">
        <v>439</v>
      </c>
      <c r="F56" s="10" t="n">
        <v>2</v>
      </c>
      <c r="G56" s="10" t="n">
        <v>16</v>
      </c>
      <c r="H56" s="10" t="n">
        <v>57</v>
      </c>
      <c r="I56" s="10" t="n">
        <v>73</v>
      </c>
      <c r="J56" s="10" t="n">
        <v>3</v>
      </c>
      <c r="K56" s="11" t="n">
        <f aca="false">IF(E56+F56=0,"",E56/(E56+F56))</f>
        <v>0.99546485260771</v>
      </c>
      <c r="L56" s="9" t="str">
        <f aca="false">IF(E56+I56&gt;0,"Yes","No")</f>
        <v>Yes</v>
      </c>
      <c r="M56" s="12" t="s">
        <v>132</v>
      </c>
    </row>
    <row r="57" customFormat="false" ht="15" hidden="false" customHeight="false" outlineLevel="0" collapsed="false">
      <c r="A57" s="13" t="n">
        <v>204</v>
      </c>
      <c r="B57" s="13" t="s">
        <v>133</v>
      </c>
      <c r="C57" s="6" t="n">
        <v>138</v>
      </c>
      <c r="D57" s="6" t="n">
        <v>286</v>
      </c>
      <c r="E57" s="6" t="n">
        <v>424</v>
      </c>
      <c r="F57" s="6" t="n">
        <v>5</v>
      </c>
      <c r="G57" s="6" t="n">
        <v>35</v>
      </c>
      <c r="H57" s="6" t="n">
        <v>34</v>
      </c>
      <c r="I57" s="6" t="n">
        <v>69</v>
      </c>
      <c r="J57" s="6" t="n">
        <v>0</v>
      </c>
      <c r="K57" s="7" t="n">
        <f aca="false">IF(E57+F57=0,"",E57/(E57+F57))</f>
        <v>0.988344988344988</v>
      </c>
      <c r="L57" s="13" t="str">
        <f aca="false">IF(E57+I57&gt;0,"Yes","No")</f>
        <v>Yes</v>
      </c>
      <c r="M57" s="14" t="s">
        <v>134</v>
      </c>
    </row>
    <row r="58" customFormat="false" ht="15" hidden="false" customHeight="false" outlineLevel="0" collapsed="false">
      <c r="A58" s="9" t="n">
        <v>81</v>
      </c>
      <c r="B58" s="9" t="s">
        <v>135</v>
      </c>
      <c r="C58" s="10" t="n">
        <v>46</v>
      </c>
      <c r="D58" s="10" t="n">
        <v>362</v>
      </c>
      <c r="E58" s="10" t="n">
        <v>408</v>
      </c>
      <c r="F58" s="10" t="n">
        <v>4</v>
      </c>
      <c r="G58" s="10" t="n">
        <v>12</v>
      </c>
      <c r="H58" s="10" t="n">
        <v>156</v>
      </c>
      <c r="I58" s="10" t="n">
        <v>168</v>
      </c>
      <c r="J58" s="10" t="n">
        <v>21</v>
      </c>
      <c r="K58" s="11" t="n">
        <f aca="false">IF(E58+F58=0,"",E58/(E58+F58))</f>
        <v>0.990291262135922</v>
      </c>
      <c r="L58" s="9" t="str">
        <f aca="false">IF(E58+I58&gt;0,"Yes","No")</f>
        <v>Yes</v>
      </c>
      <c r="M58" s="12" t="s">
        <v>136</v>
      </c>
    </row>
    <row r="59" customFormat="false" ht="15" hidden="false" customHeight="false" outlineLevel="0" collapsed="false">
      <c r="A59" s="13" t="n">
        <v>40</v>
      </c>
      <c r="B59" s="13" t="s">
        <v>137</v>
      </c>
      <c r="C59" s="6" t="n">
        <v>155</v>
      </c>
      <c r="D59" s="6" t="n">
        <v>250</v>
      </c>
      <c r="E59" s="6" t="n">
        <v>405</v>
      </c>
      <c r="F59" s="6" t="n">
        <v>5</v>
      </c>
      <c r="G59" s="6" t="n">
        <v>62</v>
      </c>
      <c r="H59" s="6" t="n">
        <v>33</v>
      </c>
      <c r="I59" s="6" t="n">
        <v>95</v>
      </c>
      <c r="J59" s="6" t="n">
        <v>0</v>
      </c>
      <c r="K59" s="7" t="n">
        <f aca="false">IF(E59+F59=0,"",E59/(E59+F59))</f>
        <v>0.987804878048781</v>
      </c>
      <c r="L59" s="13" t="str">
        <f aca="false">IF(E59+I59&gt;0,"Yes","No")</f>
        <v>Yes</v>
      </c>
      <c r="M59" s="14" t="s">
        <v>138</v>
      </c>
    </row>
    <row r="60" customFormat="false" ht="15" hidden="false" customHeight="false" outlineLevel="0" collapsed="false">
      <c r="A60" s="9" t="n">
        <v>28</v>
      </c>
      <c r="B60" s="9" t="s">
        <v>139</v>
      </c>
      <c r="C60" s="10" t="n">
        <v>80</v>
      </c>
      <c r="D60" s="10" t="n">
        <v>311</v>
      </c>
      <c r="E60" s="10" t="n">
        <v>391</v>
      </c>
      <c r="F60" s="10" t="n">
        <v>2</v>
      </c>
      <c r="G60" s="10" t="n">
        <v>11</v>
      </c>
      <c r="H60" s="10" t="n">
        <v>42</v>
      </c>
      <c r="I60" s="10" t="n">
        <v>53</v>
      </c>
      <c r="J60" s="10" t="n">
        <v>0</v>
      </c>
      <c r="K60" s="11" t="n">
        <f aca="false">IF(E60+F60=0,"",E60/(E60+F60))</f>
        <v>0.994910941475827</v>
      </c>
      <c r="L60" s="9" t="str">
        <f aca="false">IF(E60+I60&gt;0,"Yes","No")</f>
        <v>Yes</v>
      </c>
      <c r="M60" s="12" t="s">
        <v>140</v>
      </c>
    </row>
    <row r="61" customFormat="false" ht="15" hidden="false" customHeight="false" outlineLevel="0" collapsed="false">
      <c r="A61" s="13" t="n">
        <v>110</v>
      </c>
      <c r="B61" s="13" t="s">
        <v>141</v>
      </c>
      <c r="C61" s="6" t="n">
        <v>146</v>
      </c>
      <c r="D61" s="6" t="n">
        <v>245</v>
      </c>
      <c r="E61" s="6" t="n">
        <v>391</v>
      </c>
      <c r="F61" s="6" t="n">
        <v>4</v>
      </c>
      <c r="G61" s="6" t="n">
        <v>10</v>
      </c>
      <c r="H61" s="6" t="n">
        <v>26</v>
      </c>
      <c r="I61" s="6" t="n">
        <v>36</v>
      </c>
      <c r="J61" s="6" t="n">
        <v>0</v>
      </c>
      <c r="K61" s="7" t="n">
        <f aca="false">IF(E61+F61=0,"",E61/(E61+F61))</f>
        <v>0.989873417721519</v>
      </c>
      <c r="L61" s="13" t="str">
        <f aca="false">IF(E61+I61&gt;0,"Yes","No")</f>
        <v>Yes</v>
      </c>
      <c r="M61" s="14" t="s">
        <v>142</v>
      </c>
    </row>
    <row r="62" customFormat="false" ht="15" hidden="false" customHeight="false" outlineLevel="0" collapsed="false">
      <c r="A62" s="9" t="n">
        <v>14</v>
      </c>
      <c r="B62" s="9" t="s">
        <v>143</v>
      </c>
      <c r="C62" s="10" t="n">
        <v>98</v>
      </c>
      <c r="D62" s="10" t="n">
        <v>278</v>
      </c>
      <c r="E62" s="10" t="n">
        <v>376</v>
      </c>
      <c r="F62" s="10" t="n">
        <v>2</v>
      </c>
      <c r="G62" s="10" t="n">
        <v>20</v>
      </c>
      <c r="H62" s="10" t="n">
        <v>77</v>
      </c>
      <c r="I62" s="10" t="n">
        <v>97</v>
      </c>
      <c r="J62" s="10" t="n">
        <v>0</v>
      </c>
      <c r="K62" s="11" t="n">
        <f aca="false">IF(E62+F62=0,"",E62/(E62+F62))</f>
        <v>0.994708994708995</v>
      </c>
      <c r="L62" s="9" t="str">
        <f aca="false">IF(E62+I62&gt;0,"Yes","No")</f>
        <v>Yes</v>
      </c>
      <c r="M62" s="12" t="s">
        <v>144</v>
      </c>
    </row>
    <row r="63" customFormat="false" ht="15" hidden="false" customHeight="false" outlineLevel="0" collapsed="false">
      <c r="A63" s="13" t="n">
        <v>120</v>
      </c>
      <c r="B63" s="13" t="s">
        <v>145</v>
      </c>
      <c r="C63" s="6" t="n">
        <v>181</v>
      </c>
      <c r="D63" s="6" t="n">
        <v>191</v>
      </c>
      <c r="E63" s="6" t="n">
        <v>372</v>
      </c>
      <c r="F63" s="6" t="n">
        <v>2</v>
      </c>
      <c r="G63" s="6" t="n">
        <v>14</v>
      </c>
      <c r="H63" s="6" t="n">
        <v>20</v>
      </c>
      <c r="I63" s="6" t="n">
        <v>34</v>
      </c>
      <c r="J63" s="6" t="n">
        <v>0</v>
      </c>
      <c r="K63" s="7" t="n">
        <f aca="false">IF(E63+F63=0,"",E63/(E63+F63))</f>
        <v>0.994652406417112</v>
      </c>
      <c r="L63" s="13" t="str">
        <f aca="false">IF(E63+I63&gt;0,"Yes","No")</f>
        <v>Yes</v>
      </c>
      <c r="M63" s="14" t="s">
        <v>146</v>
      </c>
    </row>
    <row r="64" customFormat="false" ht="15" hidden="false" customHeight="false" outlineLevel="0" collapsed="false">
      <c r="A64" s="9" t="n">
        <v>92</v>
      </c>
      <c r="B64" s="9" t="s">
        <v>147</v>
      </c>
      <c r="C64" s="10" t="n">
        <v>92</v>
      </c>
      <c r="D64" s="10" t="n">
        <v>265</v>
      </c>
      <c r="E64" s="10" t="n">
        <v>357</v>
      </c>
      <c r="F64" s="10" t="n">
        <v>3</v>
      </c>
      <c r="G64" s="10" t="n">
        <v>7</v>
      </c>
      <c r="H64" s="10" t="n">
        <v>26</v>
      </c>
      <c r="I64" s="10" t="n">
        <v>33</v>
      </c>
      <c r="J64" s="10" t="n">
        <v>0</v>
      </c>
      <c r="K64" s="11" t="n">
        <f aca="false">IF(E64+F64=0,"",E64/(E64+F64))</f>
        <v>0.991666666666667</v>
      </c>
      <c r="L64" s="9" t="str">
        <f aca="false">IF(E64+I64&gt;0,"Yes","No")</f>
        <v>Yes</v>
      </c>
      <c r="M64" s="12" t="s">
        <v>148</v>
      </c>
    </row>
    <row r="65" customFormat="false" ht="15" hidden="false" customHeight="false" outlineLevel="0" collapsed="false">
      <c r="A65" s="13" t="n">
        <v>73</v>
      </c>
      <c r="B65" s="13" t="s">
        <v>149</v>
      </c>
      <c r="C65" s="6" t="n">
        <v>248</v>
      </c>
      <c r="D65" s="6" t="n">
        <v>94</v>
      </c>
      <c r="E65" s="6" t="n">
        <v>342</v>
      </c>
      <c r="F65" s="6" t="n">
        <v>4</v>
      </c>
      <c r="G65" s="6" t="n">
        <v>28</v>
      </c>
      <c r="H65" s="6" t="n">
        <v>18</v>
      </c>
      <c r="I65" s="6" t="n">
        <v>46</v>
      </c>
      <c r="J65" s="6" t="n">
        <v>1</v>
      </c>
      <c r="K65" s="7" t="n">
        <f aca="false">IF(E65+F65=0,"",E65/(E65+F65))</f>
        <v>0.988439306358382</v>
      </c>
      <c r="L65" s="13" t="str">
        <f aca="false">IF(E65+I65&gt;0,"Yes","No")</f>
        <v>Yes</v>
      </c>
      <c r="M65" s="14" t="s">
        <v>150</v>
      </c>
    </row>
    <row r="66" customFormat="false" ht="15" hidden="false" customHeight="false" outlineLevel="0" collapsed="false">
      <c r="A66" s="9" t="n">
        <v>51</v>
      </c>
      <c r="B66" s="9" t="s">
        <v>151</v>
      </c>
      <c r="C66" s="10" t="n">
        <v>55</v>
      </c>
      <c r="D66" s="10" t="n">
        <v>271</v>
      </c>
      <c r="E66" s="10" t="n">
        <v>326</v>
      </c>
      <c r="F66" s="10" t="n">
        <v>8</v>
      </c>
      <c r="G66" s="10" t="n">
        <v>7</v>
      </c>
      <c r="H66" s="10" t="n">
        <v>54</v>
      </c>
      <c r="I66" s="10" t="n">
        <v>61</v>
      </c>
      <c r="J66" s="10" t="n">
        <v>1</v>
      </c>
      <c r="K66" s="11" t="n">
        <f aca="false">IF(E66+F66=0,"",E66/(E66+F66))</f>
        <v>0.976047904191617</v>
      </c>
      <c r="L66" s="9" t="str">
        <f aca="false">IF(E66+I66&gt;0,"Yes","No")</f>
        <v>Yes</v>
      </c>
      <c r="M66" s="12" t="s">
        <v>152</v>
      </c>
    </row>
    <row r="67" customFormat="false" ht="15" hidden="false" customHeight="false" outlineLevel="0" collapsed="false">
      <c r="A67" s="13" t="n">
        <v>282</v>
      </c>
      <c r="B67" s="13" t="s">
        <v>153</v>
      </c>
      <c r="C67" s="6" t="n">
        <v>190</v>
      </c>
      <c r="D67" s="6" t="n">
        <v>133</v>
      </c>
      <c r="E67" s="6" t="n">
        <v>323</v>
      </c>
      <c r="F67" s="6" t="n">
        <v>4</v>
      </c>
      <c r="G67" s="6" t="n">
        <v>28</v>
      </c>
      <c r="H67" s="6" t="n">
        <v>32</v>
      </c>
      <c r="I67" s="6" t="n">
        <v>60</v>
      </c>
      <c r="J67" s="6" t="n">
        <v>3</v>
      </c>
      <c r="K67" s="7" t="n">
        <f aca="false">IF(E67+F67=0,"",E67/(E67+F67))</f>
        <v>0.987767584097859</v>
      </c>
      <c r="L67" s="13" t="str">
        <f aca="false">IF(E67+I67&gt;0,"Yes","No")</f>
        <v>Yes</v>
      </c>
      <c r="M67" s="14" t="s">
        <v>154</v>
      </c>
    </row>
    <row r="68" customFormat="false" ht="15" hidden="false" customHeight="false" outlineLevel="0" collapsed="false">
      <c r="A68" s="9" t="n">
        <v>404</v>
      </c>
      <c r="B68" s="9" t="s">
        <v>155</v>
      </c>
      <c r="C68" s="10" t="n">
        <v>65</v>
      </c>
      <c r="D68" s="10" t="n">
        <v>247</v>
      </c>
      <c r="E68" s="10" t="n">
        <v>312</v>
      </c>
      <c r="F68" s="10" t="n">
        <v>3</v>
      </c>
      <c r="G68" s="10" t="n">
        <v>14</v>
      </c>
      <c r="H68" s="10" t="n">
        <v>22</v>
      </c>
      <c r="I68" s="10" t="n">
        <v>36</v>
      </c>
      <c r="J68" s="10" t="n">
        <v>1</v>
      </c>
      <c r="K68" s="11" t="n">
        <f aca="false">IF(E68+F68=0,"",E68/(E68+F68))</f>
        <v>0.990476190476191</v>
      </c>
      <c r="L68" s="9" t="str">
        <f aca="false">IF(E68+I68&gt;0,"Yes","No")</f>
        <v>Yes</v>
      </c>
      <c r="M68" s="12" t="s">
        <v>156</v>
      </c>
    </row>
    <row r="69" customFormat="false" ht="15" hidden="false" customHeight="false" outlineLevel="0" collapsed="false">
      <c r="A69" s="13" t="n">
        <v>25</v>
      </c>
      <c r="B69" s="13" t="s">
        <v>157</v>
      </c>
      <c r="C69" s="6" t="n">
        <v>134</v>
      </c>
      <c r="D69" s="6" t="n">
        <v>161</v>
      </c>
      <c r="E69" s="6" t="n">
        <v>295</v>
      </c>
      <c r="F69" s="6" t="n">
        <v>1</v>
      </c>
      <c r="G69" s="6" t="n">
        <v>11</v>
      </c>
      <c r="H69" s="6" t="n">
        <v>52</v>
      </c>
      <c r="I69" s="6" t="n">
        <v>63</v>
      </c>
      <c r="J69" s="6" t="n">
        <v>2</v>
      </c>
      <c r="K69" s="7" t="n">
        <f aca="false">IF(E69+F69=0,"",E69/(E69+F69))</f>
        <v>0.996621621621622</v>
      </c>
      <c r="L69" s="13" t="str">
        <f aca="false">IF(E69+I69&gt;0,"Yes","No")</f>
        <v>Yes</v>
      </c>
      <c r="M69" s="14" t="s">
        <v>158</v>
      </c>
    </row>
    <row r="70" customFormat="false" ht="15" hidden="false" customHeight="false" outlineLevel="0" collapsed="false">
      <c r="A70" s="9" t="n">
        <v>63</v>
      </c>
      <c r="B70" s="9" t="s">
        <v>159</v>
      </c>
      <c r="C70" s="10" t="n">
        <v>100</v>
      </c>
      <c r="D70" s="10" t="n">
        <v>190</v>
      </c>
      <c r="E70" s="10" t="n">
        <v>290</v>
      </c>
      <c r="F70" s="10" t="n">
        <v>5</v>
      </c>
      <c r="G70" s="10" t="n">
        <v>38</v>
      </c>
      <c r="H70" s="10" t="n">
        <v>37</v>
      </c>
      <c r="I70" s="10" t="n">
        <v>75</v>
      </c>
      <c r="J70" s="10" t="n">
        <v>2</v>
      </c>
      <c r="K70" s="11" t="n">
        <f aca="false">IF(E70+F70=0,"",E70/(E70+F70))</f>
        <v>0.983050847457627</v>
      </c>
      <c r="L70" s="9" t="str">
        <f aca="false">IF(E70+I70&gt;0,"Yes","No")</f>
        <v>Yes</v>
      </c>
      <c r="M70" s="12" t="s">
        <v>160</v>
      </c>
    </row>
    <row r="71" customFormat="false" ht="15" hidden="false" customHeight="false" outlineLevel="0" collapsed="false">
      <c r="A71" s="13" t="n">
        <v>123</v>
      </c>
      <c r="B71" s="13" t="s">
        <v>161</v>
      </c>
      <c r="C71" s="6" t="n">
        <v>106</v>
      </c>
      <c r="D71" s="6" t="n">
        <v>184</v>
      </c>
      <c r="E71" s="6" t="n">
        <v>290</v>
      </c>
      <c r="F71" s="6" t="n">
        <v>3</v>
      </c>
      <c r="G71" s="6" t="n">
        <v>30</v>
      </c>
      <c r="H71" s="6" t="n">
        <v>37</v>
      </c>
      <c r="I71" s="6" t="n">
        <v>67</v>
      </c>
      <c r="J71" s="6" t="n">
        <v>1</v>
      </c>
      <c r="K71" s="7" t="n">
        <f aca="false">IF(E71+F71=0,"",E71/(E71+F71))</f>
        <v>0.989761092150171</v>
      </c>
      <c r="L71" s="13" t="str">
        <f aca="false">IF(E71+I71&gt;0,"Yes","No")</f>
        <v>Yes</v>
      </c>
      <c r="M71" s="14" t="s">
        <v>162</v>
      </c>
    </row>
    <row r="72" customFormat="false" ht="15" hidden="false" customHeight="false" outlineLevel="0" collapsed="false">
      <c r="A72" s="9" t="n">
        <v>338</v>
      </c>
      <c r="B72" s="9" t="s">
        <v>163</v>
      </c>
      <c r="C72" s="10" t="n">
        <v>119</v>
      </c>
      <c r="D72" s="10" t="n">
        <v>159</v>
      </c>
      <c r="E72" s="10" t="n">
        <v>278</v>
      </c>
      <c r="F72" s="10" t="n">
        <v>4</v>
      </c>
      <c r="G72" s="10" t="n">
        <v>45</v>
      </c>
      <c r="H72" s="10" t="n">
        <v>29</v>
      </c>
      <c r="I72" s="10" t="n">
        <v>74</v>
      </c>
      <c r="J72" s="10" t="n">
        <v>5</v>
      </c>
      <c r="K72" s="11" t="n">
        <f aca="false">IF(E72+F72=0,"",E72/(E72+F72))</f>
        <v>0.985815602836879</v>
      </c>
      <c r="L72" s="9" t="str">
        <f aca="false">IF(E72+I72&gt;0,"Yes","No")</f>
        <v>Yes</v>
      </c>
      <c r="M72" s="12" t="s">
        <v>164</v>
      </c>
    </row>
    <row r="73" customFormat="false" ht="15" hidden="false" customHeight="false" outlineLevel="0" collapsed="false">
      <c r="A73" s="13" t="n">
        <v>191</v>
      </c>
      <c r="B73" s="13" t="s">
        <v>165</v>
      </c>
      <c r="C73" s="6" t="n">
        <v>119</v>
      </c>
      <c r="D73" s="6" t="n">
        <v>158</v>
      </c>
      <c r="E73" s="6" t="n">
        <v>277</v>
      </c>
      <c r="F73" s="6" t="n">
        <v>3</v>
      </c>
      <c r="G73" s="6" t="n">
        <v>12</v>
      </c>
      <c r="H73" s="6" t="n">
        <v>43</v>
      </c>
      <c r="I73" s="6" t="n">
        <v>55</v>
      </c>
      <c r="J73" s="6" t="n">
        <v>3</v>
      </c>
      <c r="K73" s="7" t="n">
        <f aca="false">IF(E73+F73=0,"",E73/(E73+F73))</f>
        <v>0.989285714285714</v>
      </c>
      <c r="L73" s="13" t="str">
        <f aca="false">IF(E73+I73&gt;0,"Yes","No")</f>
        <v>Yes</v>
      </c>
      <c r="M73" s="14" t="s">
        <v>166</v>
      </c>
    </row>
    <row r="74" customFormat="false" ht="15" hidden="false" customHeight="false" outlineLevel="0" collapsed="false">
      <c r="A74" s="9" t="n">
        <v>82</v>
      </c>
      <c r="B74" s="9" t="s">
        <v>167</v>
      </c>
      <c r="C74" s="10" t="n">
        <v>153</v>
      </c>
      <c r="D74" s="10" t="n">
        <v>121</v>
      </c>
      <c r="E74" s="10" t="n">
        <v>274</v>
      </c>
      <c r="F74" s="10" t="n">
        <v>2</v>
      </c>
      <c r="G74" s="10" t="n">
        <v>45</v>
      </c>
      <c r="H74" s="10" t="n">
        <v>36</v>
      </c>
      <c r="I74" s="10" t="n">
        <v>81</v>
      </c>
      <c r="J74" s="10" t="n">
        <v>0</v>
      </c>
      <c r="K74" s="11" t="n">
        <f aca="false">IF(E74+F74=0,"",E74/(E74+F74))</f>
        <v>0.992753623188406</v>
      </c>
      <c r="L74" s="9" t="str">
        <f aca="false">IF(E74+I74&gt;0,"Yes","No")</f>
        <v>Yes</v>
      </c>
      <c r="M74" s="12" t="s">
        <v>168</v>
      </c>
    </row>
    <row r="75" customFormat="false" ht="15" hidden="false" customHeight="false" outlineLevel="0" collapsed="false">
      <c r="A75" s="13" t="n">
        <v>393</v>
      </c>
      <c r="B75" s="13" t="s">
        <v>169</v>
      </c>
      <c r="C75" s="6" t="n">
        <v>112</v>
      </c>
      <c r="D75" s="6" t="n">
        <v>162</v>
      </c>
      <c r="E75" s="6" t="n">
        <v>274</v>
      </c>
      <c r="F75" s="6" t="n">
        <v>7</v>
      </c>
      <c r="G75" s="6" t="n">
        <v>34</v>
      </c>
      <c r="H75" s="6" t="n">
        <v>30</v>
      </c>
      <c r="I75" s="6" t="n">
        <v>64</v>
      </c>
      <c r="J75" s="6" t="n">
        <v>3</v>
      </c>
      <c r="K75" s="7" t="n">
        <f aca="false">IF(E75+F75=0,"",E75/(E75+F75))</f>
        <v>0.97508896797153</v>
      </c>
      <c r="L75" s="13" t="str">
        <f aca="false">IF(E75+I75&gt;0,"Yes","No")</f>
        <v>Yes</v>
      </c>
      <c r="M75" s="14" t="s">
        <v>170</v>
      </c>
    </row>
    <row r="76" customFormat="false" ht="15" hidden="false" customHeight="false" outlineLevel="0" collapsed="false">
      <c r="A76" s="9" t="n">
        <v>97</v>
      </c>
      <c r="B76" s="9" t="s">
        <v>171</v>
      </c>
      <c r="C76" s="10" t="n">
        <v>190</v>
      </c>
      <c r="D76" s="10" t="n">
        <v>83</v>
      </c>
      <c r="E76" s="10" t="n">
        <v>273</v>
      </c>
      <c r="F76" s="10" t="n">
        <v>5</v>
      </c>
      <c r="G76" s="10" t="n">
        <v>48</v>
      </c>
      <c r="H76" s="10" t="n">
        <v>14</v>
      </c>
      <c r="I76" s="10" t="n">
        <v>62</v>
      </c>
      <c r="J76" s="10" t="n">
        <v>1</v>
      </c>
      <c r="K76" s="11" t="n">
        <f aca="false">IF(E76+F76=0,"",E76/(E76+F76))</f>
        <v>0.982014388489209</v>
      </c>
      <c r="L76" s="9" t="str">
        <f aca="false">IF(E76+I76&gt;0,"Yes","No")</f>
        <v>Yes</v>
      </c>
      <c r="M76" s="12" t="s">
        <v>172</v>
      </c>
    </row>
    <row r="77" customFormat="false" ht="15" hidden="false" customHeight="false" outlineLevel="0" collapsed="false">
      <c r="A77" s="13" t="n">
        <v>139</v>
      </c>
      <c r="B77" s="13" t="s">
        <v>173</v>
      </c>
      <c r="C77" s="6" t="n">
        <v>95</v>
      </c>
      <c r="D77" s="6" t="n">
        <v>178</v>
      </c>
      <c r="E77" s="6" t="n">
        <v>273</v>
      </c>
      <c r="F77" s="6" t="n">
        <v>4</v>
      </c>
      <c r="G77" s="6" t="n">
        <v>15</v>
      </c>
      <c r="H77" s="6" t="n">
        <v>42</v>
      </c>
      <c r="I77" s="6" t="n">
        <v>57</v>
      </c>
      <c r="J77" s="6" t="n">
        <v>1</v>
      </c>
      <c r="K77" s="7" t="n">
        <f aca="false">IF(E77+F77=0,"",E77/(E77+F77))</f>
        <v>0.985559566787004</v>
      </c>
      <c r="L77" s="13" t="str">
        <f aca="false">IF(E77+I77&gt;0,"Yes","No")</f>
        <v>Yes</v>
      </c>
      <c r="M77" s="14" t="s">
        <v>174</v>
      </c>
    </row>
    <row r="78" customFormat="false" ht="15" hidden="false" customHeight="false" outlineLevel="0" collapsed="false">
      <c r="A78" s="9" t="n">
        <v>99</v>
      </c>
      <c r="B78" s="9" t="s">
        <v>175</v>
      </c>
      <c r="C78" s="10" t="n">
        <v>171</v>
      </c>
      <c r="D78" s="10" t="n">
        <v>96</v>
      </c>
      <c r="E78" s="10" t="n">
        <v>267</v>
      </c>
      <c r="F78" s="10" t="n">
        <v>4</v>
      </c>
      <c r="G78" s="10" t="n">
        <v>36</v>
      </c>
      <c r="H78" s="10" t="n">
        <v>13</v>
      </c>
      <c r="I78" s="10" t="n">
        <v>49</v>
      </c>
      <c r="J78" s="10" t="n">
        <v>0</v>
      </c>
      <c r="K78" s="11" t="n">
        <f aca="false">IF(E78+F78=0,"",E78/(E78+F78))</f>
        <v>0.985239852398524</v>
      </c>
      <c r="L78" s="9" t="str">
        <f aca="false">IF(E78+I78&gt;0,"Yes","No")</f>
        <v>Yes</v>
      </c>
      <c r="M78" s="12" t="s">
        <v>176</v>
      </c>
    </row>
    <row r="79" customFormat="false" ht="15" hidden="false" customHeight="false" outlineLevel="0" collapsed="false">
      <c r="A79" s="13" t="n">
        <v>65</v>
      </c>
      <c r="B79" s="13" t="s">
        <v>177</v>
      </c>
      <c r="C79" s="6" t="n">
        <v>175</v>
      </c>
      <c r="D79" s="6" t="n">
        <v>84</v>
      </c>
      <c r="E79" s="6" t="n">
        <v>259</v>
      </c>
      <c r="F79" s="6" t="n">
        <v>3</v>
      </c>
      <c r="G79" s="6" t="n">
        <v>48</v>
      </c>
      <c r="H79" s="6" t="n">
        <v>13</v>
      </c>
      <c r="I79" s="6" t="n">
        <v>61</v>
      </c>
      <c r="J79" s="6" t="n">
        <v>0</v>
      </c>
      <c r="K79" s="7" t="n">
        <f aca="false">IF(E79+F79=0,"",E79/(E79+F79))</f>
        <v>0.988549618320611</v>
      </c>
      <c r="L79" s="13" t="str">
        <f aca="false">IF(E79+I79&gt;0,"Yes","No")</f>
        <v>Yes</v>
      </c>
      <c r="M79" s="14" t="s">
        <v>178</v>
      </c>
    </row>
    <row r="80" customFormat="false" ht="15" hidden="false" customHeight="false" outlineLevel="0" collapsed="false">
      <c r="A80" s="9" t="n">
        <v>67</v>
      </c>
      <c r="B80" s="9" t="s">
        <v>179</v>
      </c>
      <c r="C80" s="10" t="n">
        <v>39</v>
      </c>
      <c r="D80" s="10" t="n">
        <v>214</v>
      </c>
      <c r="E80" s="10" t="n">
        <v>253</v>
      </c>
      <c r="F80" s="10" t="n">
        <v>6</v>
      </c>
      <c r="G80" s="10" t="n">
        <v>2</v>
      </c>
      <c r="H80" s="10" t="n">
        <v>31</v>
      </c>
      <c r="I80" s="10" t="n">
        <v>33</v>
      </c>
      <c r="J80" s="10" t="n">
        <v>4</v>
      </c>
      <c r="K80" s="11" t="n">
        <f aca="false">IF(E80+F80=0,"",E80/(E80+F80))</f>
        <v>0.976833976833977</v>
      </c>
      <c r="L80" s="9" t="str">
        <f aca="false">IF(E80+I80&gt;0,"Yes","No")</f>
        <v>Yes</v>
      </c>
      <c r="M80" s="12" t="s">
        <v>180</v>
      </c>
    </row>
    <row r="81" customFormat="false" ht="15" hidden="false" customHeight="false" outlineLevel="0" collapsed="false">
      <c r="A81" s="13" t="n">
        <v>465</v>
      </c>
      <c r="B81" s="13" t="s">
        <v>181</v>
      </c>
      <c r="C81" s="6" t="n">
        <v>120</v>
      </c>
      <c r="D81" s="6" t="n">
        <v>131</v>
      </c>
      <c r="E81" s="6" t="n">
        <v>251</v>
      </c>
      <c r="F81" s="6" t="n">
        <v>0</v>
      </c>
      <c r="G81" s="6" t="n">
        <v>9</v>
      </c>
      <c r="H81" s="6" t="n">
        <v>44</v>
      </c>
      <c r="I81" s="6" t="n">
        <v>53</v>
      </c>
      <c r="J81" s="6" t="n">
        <v>1</v>
      </c>
      <c r="K81" s="7" t="n">
        <f aca="false">IF(E81+F81=0,"",E81/(E81+F81))</f>
        <v>1</v>
      </c>
      <c r="L81" s="13" t="str">
        <f aca="false">IF(E81+I81&gt;0,"Yes","No")</f>
        <v>Yes</v>
      </c>
      <c r="M81" s="14" t="s">
        <v>182</v>
      </c>
    </row>
    <row r="82" customFormat="false" ht="15" hidden="false" customHeight="false" outlineLevel="0" collapsed="false">
      <c r="A82" s="9" t="n">
        <v>56</v>
      </c>
      <c r="B82" s="9" t="s">
        <v>183</v>
      </c>
      <c r="C82" s="10" t="n">
        <v>53</v>
      </c>
      <c r="D82" s="10" t="n">
        <v>195</v>
      </c>
      <c r="E82" s="10" t="n">
        <v>248</v>
      </c>
      <c r="F82" s="10" t="n">
        <v>2</v>
      </c>
      <c r="G82" s="10" t="n">
        <v>4</v>
      </c>
      <c r="H82" s="10" t="n">
        <v>24</v>
      </c>
      <c r="I82" s="10" t="n">
        <v>28</v>
      </c>
      <c r="J82" s="10" t="n">
        <v>0</v>
      </c>
      <c r="K82" s="11" t="n">
        <f aca="false">IF(E82+F82=0,"",E82/(E82+F82))</f>
        <v>0.992</v>
      </c>
      <c r="L82" s="9" t="str">
        <f aca="false">IF(E82+I82&gt;0,"Yes","No")</f>
        <v>Yes</v>
      </c>
      <c r="M82" s="12" t="s">
        <v>184</v>
      </c>
    </row>
    <row r="83" customFormat="false" ht="15" hidden="false" customHeight="false" outlineLevel="0" collapsed="false">
      <c r="A83" s="13" t="n">
        <v>90</v>
      </c>
      <c r="B83" s="13" t="s">
        <v>185</v>
      </c>
      <c r="C83" s="6" t="n">
        <v>93</v>
      </c>
      <c r="D83" s="6" t="n">
        <v>147</v>
      </c>
      <c r="E83" s="6" t="n">
        <v>240</v>
      </c>
      <c r="F83" s="6" t="n">
        <v>7</v>
      </c>
      <c r="G83" s="6" t="n">
        <v>14</v>
      </c>
      <c r="H83" s="6" t="n">
        <v>19</v>
      </c>
      <c r="I83" s="6" t="n">
        <v>33</v>
      </c>
      <c r="J83" s="6" t="n">
        <v>0</v>
      </c>
      <c r="K83" s="7" t="n">
        <f aca="false">IF(E83+F83=0,"",E83/(E83+F83))</f>
        <v>0.97165991902834</v>
      </c>
      <c r="L83" s="13" t="str">
        <f aca="false">IF(E83+I83&gt;0,"Yes","No")</f>
        <v>Yes</v>
      </c>
      <c r="M83" s="14" t="s">
        <v>186</v>
      </c>
    </row>
    <row r="84" customFormat="false" ht="15" hidden="false" customHeight="false" outlineLevel="0" collapsed="false">
      <c r="A84" s="9" t="n">
        <v>180</v>
      </c>
      <c r="B84" s="9" t="s">
        <v>187</v>
      </c>
      <c r="C84" s="10" t="n">
        <v>112</v>
      </c>
      <c r="D84" s="10" t="n">
        <v>119</v>
      </c>
      <c r="E84" s="10" t="n">
        <v>231</v>
      </c>
      <c r="F84" s="10" t="n">
        <v>4</v>
      </c>
      <c r="G84" s="10" t="n">
        <v>7</v>
      </c>
      <c r="H84" s="10" t="n">
        <v>9</v>
      </c>
      <c r="I84" s="10" t="n">
        <v>16</v>
      </c>
      <c r="J84" s="10" t="n">
        <v>1</v>
      </c>
      <c r="K84" s="11" t="n">
        <f aca="false">IF(E84+F84=0,"",E84/(E84+F84))</f>
        <v>0.982978723404255</v>
      </c>
      <c r="L84" s="9" t="str">
        <f aca="false">IF(E84+I84&gt;0,"Yes","No")</f>
        <v>Yes</v>
      </c>
      <c r="M84" s="12" t="s">
        <v>188</v>
      </c>
    </row>
    <row r="85" customFormat="false" ht="15" hidden="false" customHeight="false" outlineLevel="0" collapsed="false">
      <c r="A85" s="13" t="n">
        <v>41</v>
      </c>
      <c r="B85" s="13" t="s">
        <v>189</v>
      </c>
      <c r="C85" s="6" t="n">
        <v>63</v>
      </c>
      <c r="D85" s="6" t="n">
        <v>160</v>
      </c>
      <c r="E85" s="6" t="n">
        <v>223</v>
      </c>
      <c r="F85" s="6" t="n">
        <v>0</v>
      </c>
      <c r="G85" s="6" t="n">
        <v>6</v>
      </c>
      <c r="H85" s="6" t="n">
        <v>25</v>
      </c>
      <c r="I85" s="6" t="n">
        <v>31</v>
      </c>
      <c r="J85" s="6" t="n">
        <v>2</v>
      </c>
      <c r="K85" s="7" t="n">
        <f aca="false">IF(E85+F85=0,"",E85/(E85+F85))</f>
        <v>1</v>
      </c>
      <c r="L85" s="13" t="str">
        <f aca="false">IF(E85+I85&gt;0,"Yes","No")</f>
        <v>Yes</v>
      </c>
      <c r="M85" s="14" t="s">
        <v>190</v>
      </c>
    </row>
    <row r="86" customFormat="false" ht="15" hidden="false" customHeight="false" outlineLevel="0" collapsed="false">
      <c r="A86" s="9" t="n">
        <v>98</v>
      </c>
      <c r="B86" s="9" t="s">
        <v>191</v>
      </c>
      <c r="C86" s="10" t="n">
        <v>74</v>
      </c>
      <c r="D86" s="10" t="n">
        <v>146</v>
      </c>
      <c r="E86" s="10" t="n">
        <v>220</v>
      </c>
      <c r="F86" s="10" t="n">
        <v>2</v>
      </c>
      <c r="G86" s="10" t="n">
        <v>24</v>
      </c>
      <c r="H86" s="10" t="n">
        <v>28</v>
      </c>
      <c r="I86" s="10" t="n">
        <v>52</v>
      </c>
      <c r="J86" s="10" t="n">
        <v>1</v>
      </c>
      <c r="K86" s="11" t="n">
        <f aca="false">IF(E86+F86=0,"",E86/(E86+F86))</f>
        <v>0.990990990990991</v>
      </c>
      <c r="L86" s="9" t="str">
        <f aca="false">IF(E86+I86&gt;0,"Yes","No")</f>
        <v>Yes</v>
      </c>
      <c r="M86" s="12" t="s">
        <v>192</v>
      </c>
    </row>
    <row r="87" customFormat="false" ht="15" hidden="false" customHeight="false" outlineLevel="0" collapsed="false">
      <c r="A87" s="13" t="n">
        <v>225</v>
      </c>
      <c r="B87" s="13" t="s">
        <v>193</v>
      </c>
      <c r="C87" s="6" t="n">
        <v>129</v>
      </c>
      <c r="D87" s="6" t="n">
        <v>90</v>
      </c>
      <c r="E87" s="6" t="n">
        <v>219</v>
      </c>
      <c r="F87" s="6" t="n">
        <v>2</v>
      </c>
      <c r="G87" s="6" t="n">
        <v>31</v>
      </c>
      <c r="H87" s="6" t="n">
        <v>10</v>
      </c>
      <c r="I87" s="6" t="n">
        <v>41</v>
      </c>
      <c r="J87" s="6" t="n">
        <v>2</v>
      </c>
      <c r="K87" s="7" t="n">
        <f aca="false">IF(E87+F87=0,"",E87/(E87+F87))</f>
        <v>0.990950226244344</v>
      </c>
      <c r="L87" s="13" t="str">
        <f aca="false">IF(E87+I87&gt;0,"Yes","No")</f>
        <v>Yes</v>
      </c>
      <c r="M87" s="14" t="s">
        <v>194</v>
      </c>
    </row>
    <row r="88" customFormat="false" ht="15" hidden="false" customHeight="false" outlineLevel="0" collapsed="false">
      <c r="A88" s="9" t="n">
        <v>326</v>
      </c>
      <c r="B88" s="9" t="s">
        <v>195</v>
      </c>
      <c r="C88" s="10" t="n">
        <v>94</v>
      </c>
      <c r="D88" s="10" t="n">
        <v>123</v>
      </c>
      <c r="E88" s="10" t="n">
        <v>217</v>
      </c>
      <c r="F88" s="10" t="n">
        <v>1</v>
      </c>
      <c r="G88" s="10" t="n">
        <v>12</v>
      </c>
      <c r="H88" s="10" t="n">
        <v>28</v>
      </c>
      <c r="I88" s="10" t="n">
        <v>40</v>
      </c>
      <c r="J88" s="10" t="n">
        <v>0</v>
      </c>
      <c r="K88" s="11" t="n">
        <f aca="false">IF(E88+F88=0,"",E88/(E88+F88))</f>
        <v>0.995412844036697</v>
      </c>
      <c r="L88" s="9" t="str">
        <f aca="false">IF(E88+I88&gt;0,"Yes","No")</f>
        <v>Yes</v>
      </c>
      <c r="M88" s="12" t="s">
        <v>196</v>
      </c>
    </row>
    <row r="89" customFormat="false" ht="15" hidden="false" customHeight="false" outlineLevel="0" collapsed="false">
      <c r="A89" s="13" t="n">
        <v>330</v>
      </c>
      <c r="B89" s="13" t="s">
        <v>197</v>
      </c>
      <c r="C89" s="6" t="n">
        <v>106</v>
      </c>
      <c r="D89" s="6" t="n">
        <v>111</v>
      </c>
      <c r="E89" s="6" t="n">
        <v>217</v>
      </c>
      <c r="F89" s="6" t="n">
        <v>7</v>
      </c>
      <c r="G89" s="6" t="n">
        <v>10</v>
      </c>
      <c r="H89" s="6" t="n">
        <v>15</v>
      </c>
      <c r="I89" s="6" t="n">
        <v>25</v>
      </c>
      <c r="J89" s="6" t="n">
        <v>2</v>
      </c>
      <c r="K89" s="7" t="n">
        <f aca="false">IF(E89+F89=0,"",E89/(E89+F89))</f>
        <v>0.96875</v>
      </c>
      <c r="L89" s="13" t="str">
        <f aca="false">IF(E89+I89&gt;0,"Yes","No")</f>
        <v>Yes</v>
      </c>
      <c r="M89" s="14" t="s">
        <v>198</v>
      </c>
    </row>
    <row r="90" customFormat="false" ht="15" hidden="false" customHeight="false" outlineLevel="0" collapsed="false">
      <c r="A90" s="9" t="n">
        <v>371</v>
      </c>
      <c r="B90" s="9" t="s">
        <v>199</v>
      </c>
      <c r="C90" s="10" t="n">
        <v>103</v>
      </c>
      <c r="D90" s="10" t="n">
        <v>106</v>
      </c>
      <c r="E90" s="10" t="n">
        <v>209</v>
      </c>
      <c r="F90" s="10" t="n">
        <v>6</v>
      </c>
      <c r="G90" s="10" t="n">
        <v>54</v>
      </c>
      <c r="H90" s="10" t="n">
        <v>17</v>
      </c>
      <c r="I90" s="10" t="n">
        <v>71</v>
      </c>
      <c r="J90" s="10" t="n">
        <v>0</v>
      </c>
      <c r="K90" s="11" t="n">
        <f aca="false">IF(E90+F90=0,"",E90/(E90+F90))</f>
        <v>0.972093023255814</v>
      </c>
      <c r="L90" s="9" t="str">
        <f aca="false">IF(E90+I90&gt;0,"Yes","No")</f>
        <v>Yes</v>
      </c>
      <c r="M90" s="12" t="s">
        <v>200</v>
      </c>
    </row>
    <row r="91" customFormat="false" ht="15" hidden="false" customHeight="false" outlineLevel="0" collapsed="false">
      <c r="A91" s="13" t="n">
        <v>381</v>
      </c>
      <c r="B91" s="13" t="s">
        <v>201</v>
      </c>
      <c r="C91" s="6" t="n">
        <v>156</v>
      </c>
      <c r="D91" s="6" t="n">
        <v>53</v>
      </c>
      <c r="E91" s="6" t="n">
        <v>209</v>
      </c>
      <c r="F91" s="6" t="n">
        <v>2</v>
      </c>
      <c r="G91" s="6" t="n">
        <v>13</v>
      </c>
      <c r="H91" s="6" t="n">
        <v>14</v>
      </c>
      <c r="I91" s="6" t="n">
        <v>27</v>
      </c>
      <c r="J91" s="6" t="n">
        <v>0</v>
      </c>
      <c r="K91" s="7" t="n">
        <f aca="false">IF(E91+F91=0,"",E91/(E91+F91))</f>
        <v>0.990521327014218</v>
      </c>
      <c r="L91" s="13" t="str">
        <f aca="false">IF(E91+I91&gt;0,"Yes","No")</f>
        <v>Yes</v>
      </c>
      <c r="M91" s="14" t="s">
        <v>202</v>
      </c>
    </row>
    <row r="92" customFormat="false" ht="15" hidden="false" customHeight="false" outlineLevel="0" collapsed="false">
      <c r="A92" s="9" t="n">
        <v>48</v>
      </c>
      <c r="B92" s="9" t="s">
        <v>203</v>
      </c>
      <c r="C92" s="10" t="n">
        <v>141</v>
      </c>
      <c r="D92" s="10" t="n">
        <v>64</v>
      </c>
      <c r="E92" s="10" t="n">
        <v>205</v>
      </c>
      <c r="F92" s="10" t="n">
        <v>2</v>
      </c>
      <c r="G92" s="10" t="n">
        <v>54</v>
      </c>
      <c r="H92" s="10" t="n">
        <v>22</v>
      </c>
      <c r="I92" s="10" t="n">
        <v>76</v>
      </c>
      <c r="J92" s="10" t="n">
        <v>0</v>
      </c>
      <c r="K92" s="11" t="n">
        <f aca="false">IF(E92+F92=0,"",E92/(E92+F92))</f>
        <v>0.990338164251208</v>
      </c>
      <c r="L92" s="9" t="str">
        <f aca="false">IF(E92+I92&gt;0,"Yes","No")</f>
        <v>Yes</v>
      </c>
      <c r="M92" s="12" t="s">
        <v>204</v>
      </c>
    </row>
    <row r="93" customFormat="false" ht="15" hidden="false" customHeight="false" outlineLevel="0" collapsed="false">
      <c r="A93" s="13" t="n">
        <v>255</v>
      </c>
      <c r="B93" s="13" t="s">
        <v>205</v>
      </c>
      <c r="C93" s="6" t="n">
        <v>76</v>
      </c>
      <c r="D93" s="6" t="n">
        <v>124</v>
      </c>
      <c r="E93" s="6" t="n">
        <v>200</v>
      </c>
      <c r="F93" s="6" t="n">
        <v>5</v>
      </c>
      <c r="G93" s="6" t="n">
        <v>18</v>
      </c>
      <c r="H93" s="6" t="n">
        <v>24</v>
      </c>
      <c r="I93" s="6" t="n">
        <v>42</v>
      </c>
      <c r="J93" s="6" t="n">
        <v>0</v>
      </c>
      <c r="K93" s="7" t="n">
        <f aca="false">IF(E93+F93=0,"",E93/(E93+F93))</f>
        <v>0.975609756097561</v>
      </c>
      <c r="L93" s="13" t="str">
        <f aca="false">IF(E93+I93&gt;0,"Yes","No")</f>
        <v>Yes</v>
      </c>
      <c r="M93" s="14" t="s">
        <v>206</v>
      </c>
    </row>
    <row r="94" customFormat="false" ht="15" hidden="false" customHeight="false" outlineLevel="0" collapsed="false">
      <c r="A94" s="9" t="n">
        <v>324</v>
      </c>
      <c r="B94" s="9" t="s">
        <v>207</v>
      </c>
      <c r="C94" s="10" t="n">
        <v>100</v>
      </c>
      <c r="D94" s="10" t="n">
        <v>99</v>
      </c>
      <c r="E94" s="10" t="n">
        <v>199</v>
      </c>
      <c r="F94" s="10" t="n">
        <v>1</v>
      </c>
      <c r="G94" s="10" t="n">
        <v>17</v>
      </c>
      <c r="H94" s="10" t="n">
        <v>23</v>
      </c>
      <c r="I94" s="10" t="n">
        <v>40</v>
      </c>
      <c r="J94" s="10" t="n">
        <v>0</v>
      </c>
      <c r="K94" s="11" t="n">
        <f aca="false">IF(E94+F94=0,"",E94/(E94+F94))</f>
        <v>0.995</v>
      </c>
      <c r="L94" s="9" t="str">
        <f aca="false">IF(E94+I94&gt;0,"Yes","No")</f>
        <v>Yes</v>
      </c>
      <c r="M94" s="12" t="s">
        <v>208</v>
      </c>
    </row>
    <row r="95" customFormat="false" ht="15" hidden="false" customHeight="false" outlineLevel="0" collapsed="false">
      <c r="A95" s="13" t="n">
        <v>397</v>
      </c>
      <c r="B95" s="13" t="s">
        <v>209</v>
      </c>
      <c r="C95" s="6" t="n">
        <v>72</v>
      </c>
      <c r="D95" s="6" t="n">
        <v>127</v>
      </c>
      <c r="E95" s="6" t="n">
        <v>199</v>
      </c>
      <c r="F95" s="6" t="n">
        <v>6</v>
      </c>
      <c r="G95" s="6" t="n">
        <v>11</v>
      </c>
      <c r="H95" s="6" t="n">
        <v>23</v>
      </c>
      <c r="I95" s="6" t="n">
        <v>34</v>
      </c>
      <c r="J95" s="6" t="n">
        <v>0</v>
      </c>
      <c r="K95" s="7" t="n">
        <f aca="false">IF(E95+F95=0,"",E95/(E95+F95))</f>
        <v>0.970731707317073</v>
      </c>
      <c r="L95" s="13" t="str">
        <f aca="false">IF(E95+I95&gt;0,"Yes","No")</f>
        <v>Yes</v>
      </c>
      <c r="M95" s="14" t="s">
        <v>210</v>
      </c>
    </row>
    <row r="96" customFormat="false" ht="15" hidden="false" customHeight="false" outlineLevel="0" collapsed="false">
      <c r="A96" s="9" t="n">
        <v>33</v>
      </c>
      <c r="B96" s="9" t="s">
        <v>211</v>
      </c>
      <c r="C96" s="10" t="n">
        <v>86</v>
      </c>
      <c r="D96" s="10" t="n">
        <v>106</v>
      </c>
      <c r="E96" s="10" t="n">
        <v>192</v>
      </c>
      <c r="F96" s="10" t="n">
        <v>0</v>
      </c>
      <c r="G96" s="10" t="n">
        <v>29</v>
      </c>
      <c r="H96" s="10" t="n">
        <v>33</v>
      </c>
      <c r="I96" s="10" t="n">
        <v>62</v>
      </c>
      <c r="J96" s="10" t="n">
        <v>0</v>
      </c>
      <c r="K96" s="11" t="n">
        <f aca="false">IF(E96+F96=0,"",E96/(E96+F96))</f>
        <v>1</v>
      </c>
      <c r="L96" s="9" t="str">
        <f aca="false">IF(E96+I96&gt;0,"Yes","No")</f>
        <v>Yes</v>
      </c>
      <c r="M96" s="12" t="s">
        <v>212</v>
      </c>
    </row>
    <row r="97" customFormat="false" ht="15" hidden="false" customHeight="false" outlineLevel="0" collapsed="false">
      <c r="A97" s="13" t="n">
        <v>94</v>
      </c>
      <c r="B97" s="13" t="s">
        <v>213</v>
      </c>
      <c r="C97" s="6" t="n">
        <v>40</v>
      </c>
      <c r="D97" s="6" t="n">
        <v>150</v>
      </c>
      <c r="E97" s="6" t="n">
        <v>190</v>
      </c>
      <c r="F97" s="6" t="n">
        <v>0</v>
      </c>
      <c r="G97" s="6" t="n">
        <v>1</v>
      </c>
      <c r="H97" s="6" t="n">
        <v>25</v>
      </c>
      <c r="I97" s="6" t="n">
        <v>26</v>
      </c>
      <c r="J97" s="6" t="n">
        <v>0</v>
      </c>
      <c r="K97" s="7" t="n">
        <f aca="false">IF(E97+F97=0,"",E97/(E97+F97))</f>
        <v>1</v>
      </c>
      <c r="L97" s="13" t="str">
        <f aca="false">IF(E97+I97&gt;0,"Yes","No")</f>
        <v>Yes</v>
      </c>
      <c r="M97" s="14" t="s">
        <v>214</v>
      </c>
    </row>
    <row r="98" customFormat="false" ht="15" hidden="false" customHeight="false" outlineLevel="0" collapsed="false">
      <c r="A98" s="9" t="n">
        <v>342</v>
      </c>
      <c r="B98" s="9" t="s">
        <v>215</v>
      </c>
      <c r="C98" s="10" t="n">
        <v>63</v>
      </c>
      <c r="D98" s="10" t="n">
        <v>121</v>
      </c>
      <c r="E98" s="10" t="n">
        <v>184</v>
      </c>
      <c r="F98" s="10" t="n">
        <v>1</v>
      </c>
      <c r="G98" s="10" t="n">
        <v>5</v>
      </c>
      <c r="H98" s="10" t="n">
        <v>30</v>
      </c>
      <c r="I98" s="10" t="n">
        <v>35</v>
      </c>
      <c r="J98" s="10" t="n">
        <v>0</v>
      </c>
      <c r="K98" s="11" t="n">
        <f aca="false">IF(E98+F98=0,"",E98/(E98+F98))</f>
        <v>0.994594594594595</v>
      </c>
      <c r="L98" s="9" t="str">
        <f aca="false">IF(E98+I98&gt;0,"Yes","No")</f>
        <v>Yes</v>
      </c>
      <c r="M98" s="12" t="s">
        <v>216</v>
      </c>
    </row>
    <row r="99" customFormat="false" ht="15" hidden="false" customHeight="false" outlineLevel="0" collapsed="false">
      <c r="A99" s="13" t="n">
        <v>142</v>
      </c>
      <c r="B99" s="13" t="s">
        <v>217</v>
      </c>
      <c r="C99" s="6" t="n">
        <v>64</v>
      </c>
      <c r="D99" s="6" t="n">
        <v>119</v>
      </c>
      <c r="E99" s="6" t="n">
        <v>183</v>
      </c>
      <c r="F99" s="6" t="n">
        <v>1</v>
      </c>
      <c r="G99" s="6" t="n">
        <v>11</v>
      </c>
      <c r="H99" s="6" t="n">
        <v>24</v>
      </c>
      <c r="I99" s="6" t="n">
        <v>35</v>
      </c>
      <c r="J99" s="6" t="n">
        <v>0</v>
      </c>
      <c r="K99" s="7" t="n">
        <f aca="false">IF(E99+F99=0,"",E99/(E99+F99))</f>
        <v>0.994565217391304</v>
      </c>
      <c r="L99" s="13" t="str">
        <f aca="false">IF(E99+I99&gt;0,"Yes","No")</f>
        <v>Yes</v>
      </c>
      <c r="M99" s="14" t="s">
        <v>218</v>
      </c>
    </row>
    <row r="100" customFormat="false" ht="15" hidden="false" customHeight="false" outlineLevel="0" collapsed="false">
      <c r="A100" s="9" t="n">
        <v>334</v>
      </c>
      <c r="B100" s="9" t="s">
        <v>219</v>
      </c>
      <c r="C100" s="10" t="n">
        <v>110</v>
      </c>
      <c r="D100" s="10" t="n">
        <v>69</v>
      </c>
      <c r="E100" s="10" t="n">
        <v>179</v>
      </c>
      <c r="F100" s="10" t="n">
        <v>2</v>
      </c>
      <c r="G100" s="10" t="n">
        <v>31</v>
      </c>
      <c r="H100" s="10" t="n">
        <v>4</v>
      </c>
      <c r="I100" s="10" t="n">
        <v>35</v>
      </c>
      <c r="J100" s="10" t="n">
        <v>1</v>
      </c>
      <c r="K100" s="11" t="n">
        <f aca="false">IF(E100+F100=0,"",E100/(E100+F100))</f>
        <v>0.988950276243094</v>
      </c>
      <c r="L100" s="9" t="str">
        <f aca="false">IF(E100+I100&gt;0,"Yes","No")</f>
        <v>Yes</v>
      </c>
      <c r="M100" s="12" t="s">
        <v>220</v>
      </c>
    </row>
    <row r="101" customFormat="false" ht="15" hidden="false" customHeight="false" outlineLevel="0" collapsed="false">
      <c r="A101" s="13" t="n">
        <v>257</v>
      </c>
      <c r="B101" s="13" t="s">
        <v>221</v>
      </c>
      <c r="C101" s="6" t="n">
        <v>119</v>
      </c>
      <c r="D101" s="6" t="n">
        <v>54</v>
      </c>
      <c r="E101" s="6" t="n">
        <v>173</v>
      </c>
      <c r="F101" s="6" t="n">
        <v>0</v>
      </c>
      <c r="G101" s="6" t="n">
        <v>49</v>
      </c>
      <c r="H101" s="6" t="n">
        <v>11</v>
      </c>
      <c r="I101" s="6" t="n">
        <v>60</v>
      </c>
      <c r="J101" s="6" t="n">
        <v>1</v>
      </c>
      <c r="K101" s="7" t="n">
        <f aca="false">IF(E101+F101=0,"",E101/(E101+F101))</f>
        <v>1</v>
      </c>
      <c r="L101" s="13" t="str">
        <f aca="false">IF(E101+I101&gt;0,"Yes","No")</f>
        <v>Yes</v>
      </c>
      <c r="M101" s="14" t="s">
        <v>222</v>
      </c>
    </row>
    <row r="102" customFormat="false" ht="15" hidden="false" customHeight="false" outlineLevel="0" collapsed="false">
      <c r="A102" s="9" t="n">
        <v>107</v>
      </c>
      <c r="B102" s="9" t="s">
        <v>223</v>
      </c>
      <c r="C102" s="10" t="n">
        <v>79</v>
      </c>
      <c r="D102" s="10" t="n">
        <v>92</v>
      </c>
      <c r="E102" s="10" t="n">
        <v>171</v>
      </c>
      <c r="F102" s="10" t="n">
        <v>3</v>
      </c>
      <c r="G102" s="10" t="n">
        <v>25</v>
      </c>
      <c r="H102" s="10" t="n">
        <v>10</v>
      </c>
      <c r="I102" s="10" t="n">
        <v>35</v>
      </c>
      <c r="J102" s="10" t="n">
        <v>1</v>
      </c>
      <c r="K102" s="11" t="n">
        <f aca="false">IF(E102+F102=0,"",E102/(E102+F102))</f>
        <v>0.982758620689655</v>
      </c>
      <c r="L102" s="9" t="str">
        <f aca="false">IF(E102+I102&gt;0,"Yes","No")</f>
        <v>Yes</v>
      </c>
      <c r="M102" s="12" t="s">
        <v>224</v>
      </c>
    </row>
    <row r="103" customFormat="false" ht="15" hidden="false" customHeight="false" outlineLevel="0" collapsed="false">
      <c r="A103" s="13" t="n">
        <v>449</v>
      </c>
      <c r="B103" s="13" t="s">
        <v>225</v>
      </c>
      <c r="C103" s="6" t="n">
        <v>77</v>
      </c>
      <c r="D103" s="6" t="n">
        <v>87</v>
      </c>
      <c r="E103" s="6" t="n">
        <v>164</v>
      </c>
      <c r="F103" s="6" t="n">
        <v>5</v>
      </c>
      <c r="G103" s="6" t="n">
        <v>58</v>
      </c>
      <c r="H103" s="6" t="n">
        <v>6</v>
      </c>
      <c r="I103" s="6" t="n">
        <v>64</v>
      </c>
      <c r="J103" s="6" t="n">
        <v>1</v>
      </c>
      <c r="K103" s="7" t="n">
        <f aca="false">IF(E103+F103=0,"",E103/(E103+F103))</f>
        <v>0.970414201183432</v>
      </c>
      <c r="L103" s="13" t="str">
        <f aca="false">IF(E103+I103&gt;0,"Yes","No")</f>
        <v>Yes</v>
      </c>
      <c r="M103" s="14" t="s">
        <v>226</v>
      </c>
    </row>
    <row r="104" customFormat="false" ht="15" hidden="false" customHeight="false" outlineLevel="0" collapsed="false">
      <c r="A104" s="9" t="n">
        <v>293</v>
      </c>
      <c r="B104" s="9" t="s">
        <v>227</v>
      </c>
      <c r="C104" s="10" t="n">
        <v>86</v>
      </c>
      <c r="D104" s="10" t="n">
        <v>74</v>
      </c>
      <c r="E104" s="10" t="n">
        <v>160</v>
      </c>
      <c r="F104" s="10" t="n">
        <v>1</v>
      </c>
      <c r="G104" s="10" t="n">
        <v>10</v>
      </c>
      <c r="H104" s="10" t="n">
        <v>14</v>
      </c>
      <c r="I104" s="10" t="n">
        <v>24</v>
      </c>
      <c r="J104" s="10" t="n">
        <v>0</v>
      </c>
      <c r="K104" s="11" t="n">
        <f aca="false">IF(E104+F104=0,"",E104/(E104+F104))</f>
        <v>0.993788819875776</v>
      </c>
      <c r="L104" s="9" t="str">
        <f aca="false">IF(E104+I104&gt;0,"Yes","No")</f>
        <v>Yes</v>
      </c>
      <c r="M104" s="12" t="s">
        <v>228</v>
      </c>
    </row>
    <row r="105" customFormat="false" ht="15" hidden="false" customHeight="false" outlineLevel="0" collapsed="false">
      <c r="A105" s="13" t="n">
        <v>68</v>
      </c>
      <c r="B105" s="13" t="s">
        <v>229</v>
      </c>
      <c r="C105" s="6" t="n">
        <v>44</v>
      </c>
      <c r="D105" s="6" t="n">
        <v>114</v>
      </c>
      <c r="E105" s="6" t="n">
        <v>158</v>
      </c>
      <c r="F105" s="6" t="n">
        <v>1</v>
      </c>
      <c r="G105" s="6" t="n">
        <v>4</v>
      </c>
      <c r="H105" s="6" t="n">
        <v>25</v>
      </c>
      <c r="I105" s="6" t="n">
        <v>29</v>
      </c>
      <c r="J105" s="6" t="n">
        <v>1</v>
      </c>
      <c r="K105" s="7" t="n">
        <f aca="false">IF(E105+F105=0,"",E105/(E105+F105))</f>
        <v>0.993710691823899</v>
      </c>
      <c r="L105" s="13" t="str">
        <f aca="false">IF(E105+I105&gt;0,"Yes","No")</f>
        <v>Yes</v>
      </c>
      <c r="M105" s="14" t="s">
        <v>230</v>
      </c>
    </row>
    <row r="106" customFormat="false" ht="15" hidden="false" customHeight="false" outlineLevel="0" collapsed="false">
      <c r="A106" s="9" t="n">
        <v>200</v>
      </c>
      <c r="B106" s="9" t="s">
        <v>231</v>
      </c>
      <c r="C106" s="10" t="n">
        <v>81</v>
      </c>
      <c r="D106" s="10" t="n">
        <v>74</v>
      </c>
      <c r="E106" s="10" t="n">
        <v>155</v>
      </c>
      <c r="F106" s="10" t="n">
        <v>0</v>
      </c>
      <c r="G106" s="10" t="n">
        <v>7</v>
      </c>
      <c r="H106" s="10" t="n">
        <v>14</v>
      </c>
      <c r="I106" s="10" t="n">
        <v>21</v>
      </c>
      <c r="J106" s="10" t="n">
        <v>0</v>
      </c>
      <c r="K106" s="11" t="n">
        <f aca="false">IF(E106+F106=0,"",E106/(E106+F106))</f>
        <v>1</v>
      </c>
      <c r="L106" s="9" t="str">
        <f aca="false">IF(E106+I106&gt;0,"Yes","No")</f>
        <v>Yes</v>
      </c>
      <c r="M106" s="12" t="s">
        <v>232</v>
      </c>
    </row>
    <row r="107" customFormat="false" ht="15" hidden="false" customHeight="false" outlineLevel="0" collapsed="false">
      <c r="A107" s="13" t="n">
        <v>148</v>
      </c>
      <c r="B107" s="13" t="s">
        <v>233</v>
      </c>
      <c r="C107" s="6" t="n">
        <v>77</v>
      </c>
      <c r="D107" s="6" t="n">
        <v>77</v>
      </c>
      <c r="E107" s="6" t="n">
        <v>154</v>
      </c>
      <c r="F107" s="6" t="n">
        <v>6</v>
      </c>
      <c r="G107" s="6" t="n">
        <v>20</v>
      </c>
      <c r="H107" s="6" t="n">
        <v>22</v>
      </c>
      <c r="I107" s="6" t="n">
        <v>42</v>
      </c>
      <c r="J107" s="6" t="n">
        <v>4</v>
      </c>
      <c r="K107" s="7" t="n">
        <f aca="false">IF(E107+F107=0,"",E107/(E107+F107))</f>
        <v>0.9625</v>
      </c>
      <c r="L107" s="13" t="str">
        <f aca="false">IF(E107+I107&gt;0,"Yes","No")</f>
        <v>Yes</v>
      </c>
      <c r="M107" s="14" t="s">
        <v>234</v>
      </c>
    </row>
    <row r="108" customFormat="false" ht="15" hidden="false" customHeight="false" outlineLevel="0" collapsed="false">
      <c r="A108" s="9" t="n">
        <v>347</v>
      </c>
      <c r="B108" s="9" t="s">
        <v>235</v>
      </c>
      <c r="C108" s="10" t="n">
        <v>83</v>
      </c>
      <c r="D108" s="10" t="n">
        <v>67</v>
      </c>
      <c r="E108" s="10" t="n">
        <v>150</v>
      </c>
      <c r="F108" s="10" t="n">
        <v>4</v>
      </c>
      <c r="G108" s="10" t="n">
        <v>36</v>
      </c>
      <c r="H108" s="10" t="n">
        <v>6</v>
      </c>
      <c r="I108" s="10" t="n">
        <v>42</v>
      </c>
      <c r="J108" s="10" t="n">
        <v>1</v>
      </c>
      <c r="K108" s="11" t="n">
        <f aca="false">IF(E108+F108=0,"",E108/(E108+F108))</f>
        <v>0.974025974025974</v>
      </c>
      <c r="L108" s="9" t="str">
        <f aca="false">IF(E108+I108&gt;0,"Yes","No")</f>
        <v>Yes</v>
      </c>
      <c r="M108" s="12" t="s">
        <v>236</v>
      </c>
    </row>
    <row r="109" customFormat="false" ht="15" hidden="false" customHeight="false" outlineLevel="0" collapsed="false">
      <c r="A109" s="13" t="n">
        <v>66</v>
      </c>
      <c r="B109" s="13" t="s">
        <v>237</v>
      </c>
      <c r="C109" s="6" t="n">
        <v>91</v>
      </c>
      <c r="D109" s="6" t="n">
        <v>59</v>
      </c>
      <c r="E109" s="6" t="n">
        <v>150</v>
      </c>
      <c r="F109" s="6" t="n">
        <v>6</v>
      </c>
      <c r="G109" s="6" t="n">
        <v>23</v>
      </c>
      <c r="H109" s="6" t="n">
        <v>7</v>
      </c>
      <c r="I109" s="6" t="n">
        <v>30</v>
      </c>
      <c r="J109" s="6" t="n">
        <v>2</v>
      </c>
      <c r="K109" s="7" t="n">
        <f aca="false">IF(E109+F109=0,"",E109/(E109+F109))</f>
        <v>0.961538461538462</v>
      </c>
      <c r="L109" s="13" t="str">
        <f aca="false">IF(E109+I109&gt;0,"Yes","No")</f>
        <v>Yes</v>
      </c>
      <c r="M109" s="14" t="s">
        <v>238</v>
      </c>
    </row>
    <row r="110" customFormat="false" ht="15" hidden="false" customHeight="false" outlineLevel="0" collapsed="false">
      <c r="A110" s="9" t="n">
        <v>118</v>
      </c>
      <c r="B110" s="9" t="s">
        <v>239</v>
      </c>
      <c r="C110" s="10" t="n">
        <v>22</v>
      </c>
      <c r="D110" s="10" t="n">
        <v>127</v>
      </c>
      <c r="E110" s="10" t="n">
        <v>149</v>
      </c>
      <c r="F110" s="10" t="n">
        <v>2</v>
      </c>
      <c r="G110" s="10" t="n">
        <v>2</v>
      </c>
      <c r="H110" s="10" t="n">
        <v>8</v>
      </c>
      <c r="I110" s="10" t="n">
        <v>10</v>
      </c>
      <c r="J110" s="10" t="n">
        <v>0</v>
      </c>
      <c r="K110" s="11" t="n">
        <f aca="false">IF(E110+F110=0,"",E110/(E110+F110))</f>
        <v>0.986754966887417</v>
      </c>
      <c r="L110" s="9" t="str">
        <f aca="false">IF(E110+I110&gt;0,"Yes","No")</f>
        <v>Yes</v>
      </c>
      <c r="M110" s="12" t="s">
        <v>240</v>
      </c>
    </row>
    <row r="111" customFormat="false" ht="15" hidden="false" customHeight="false" outlineLevel="0" collapsed="false">
      <c r="A111" s="13" t="n">
        <v>58</v>
      </c>
      <c r="B111" s="13" t="s">
        <v>241</v>
      </c>
      <c r="C111" s="6" t="n">
        <v>26</v>
      </c>
      <c r="D111" s="6" t="n">
        <v>120</v>
      </c>
      <c r="E111" s="6" t="n">
        <v>146</v>
      </c>
      <c r="F111" s="6" t="n">
        <v>1</v>
      </c>
      <c r="G111" s="6" t="n">
        <v>2</v>
      </c>
      <c r="H111" s="6" t="n">
        <v>17</v>
      </c>
      <c r="I111" s="6" t="n">
        <v>19</v>
      </c>
      <c r="J111" s="6" t="n">
        <v>3</v>
      </c>
      <c r="K111" s="7" t="n">
        <f aca="false">IF(E111+F111=0,"",E111/(E111+F111))</f>
        <v>0.993197278911565</v>
      </c>
      <c r="L111" s="13" t="str">
        <f aca="false">IF(E111+I111&gt;0,"Yes","No")</f>
        <v>Yes</v>
      </c>
      <c r="M111" s="14" t="s">
        <v>242</v>
      </c>
    </row>
    <row r="112" customFormat="false" ht="15" hidden="false" customHeight="false" outlineLevel="0" collapsed="false">
      <c r="A112" s="9" t="n">
        <v>32</v>
      </c>
      <c r="B112" s="9" t="s">
        <v>243</v>
      </c>
      <c r="C112" s="10" t="n">
        <v>55</v>
      </c>
      <c r="D112" s="10" t="n">
        <v>90</v>
      </c>
      <c r="E112" s="10" t="n">
        <v>145</v>
      </c>
      <c r="F112" s="10" t="n">
        <v>5</v>
      </c>
      <c r="G112" s="10" t="n">
        <v>17</v>
      </c>
      <c r="H112" s="10" t="n">
        <v>23</v>
      </c>
      <c r="I112" s="10" t="n">
        <v>40</v>
      </c>
      <c r="J112" s="10" t="n">
        <v>3</v>
      </c>
      <c r="K112" s="11" t="n">
        <f aca="false">IF(E112+F112=0,"",E112/(E112+F112))</f>
        <v>0.966666666666667</v>
      </c>
      <c r="L112" s="9" t="str">
        <f aca="false">IF(E112+I112&gt;0,"Yes","No")</f>
        <v>Yes</v>
      </c>
      <c r="M112" s="12" t="s">
        <v>244</v>
      </c>
    </row>
    <row r="113" customFormat="false" ht="15" hidden="false" customHeight="false" outlineLevel="0" collapsed="false">
      <c r="A113" s="13" t="n">
        <v>104</v>
      </c>
      <c r="B113" s="13" t="s">
        <v>245</v>
      </c>
      <c r="C113" s="6" t="n">
        <v>100</v>
      </c>
      <c r="D113" s="6" t="n">
        <v>45</v>
      </c>
      <c r="E113" s="6" t="n">
        <v>145</v>
      </c>
      <c r="F113" s="6" t="n">
        <v>0</v>
      </c>
      <c r="G113" s="6" t="n">
        <v>9</v>
      </c>
      <c r="H113" s="6" t="n">
        <v>22</v>
      </c>
      <c r="I113" s="6" t="n">
        <v>31</v>
      </c>
      <c r="J113" s="6" t="n">
        <v>0</v>
      </c>
      <c r="K113" s="7" t="n">
        <f aca="false">IF(E113+F113=0,"",E113/(E113+F113))</f>
        <v>1</v>
      </c>
      <c r="L113" s="13" t="str">
        <f aca="false">IF(E113+I113&gt;0,"Yes","No")</f>
        <v>Yes</v>
      </c>
      <c r="M113" s="14" t="s">
        <v>246</v>
      </c>
    </row>
    <row r="114" customFormat="false" ht="15" hidden="false" customHeight="false" outlineLevel="0" collapsed="false">
      <c r="A114" s="9" t="n">
        <v>106</v>
      </c>
      <c r="B114" s="9" t="s">
        <v>247</v>
      </c>
      <c r="C114" s="10" t="n">
        <v>61</v>
      </c>
      <c r="D114" s="10" t="n">
        <v>77</v>
      </c>
      <c r="E114" s="10" t="n">
        <v>138</v>
      </c>
      <c r="F114" s="10" t="n">
        <v>1</v>
      </c>
      <c r="G114" s="10" t="n">
        <v>15</v>
      </c>
      <c r="H114" s="10" t="n">
        <v>11</v>
      </c>
      <c r="I114" s="10" t="n">
        <v>26</v>
      </c>
      <c r="J114" s="10" t="n">
        <v>1</v>
      </c>
      <c r="K114" s="11" t="n">
        <f aca="false">IF(E114+F114=0,"",E114/(E114+F114))</f>
        <v>0.992805755395684</v>
      </c>
      <c r="L114" s="9" t="str">
        <f aca="false">IF(E114+I114&gt;0,"Yes","No")</f>
        <v>Yes</v>
      </c>
      <c r="M114" s="12" t="s">
        <v>248</v>
      </c>
    </row>
    <row r="115" customFormat="false" ht="15" hidden="false" customHeight="false" outlineLevel="0" collapsed="false">
      <c r="A115" s="13" t="n">
        <v>296</v>
      </c>
      <c r="B115" s="13" t="s">
        <v>249</v>
      </c>
      <c r="C115" s="6" t="n">
        <v>73</v>
      </c>
      <c r="D115" s="6" t="n">
        <v>63</v>
      </c>
      <c r="E115" s="6" t="n">
        <v>136</v>
      </c>
      <c r="F115" s="6" t="n">
        <v>4</v>
      </c>
      <c r="G115" s="6" t="n">
        <v>3</v>
      </c>
      <c r="H115" s="6" t="n">
        <v>10</v>
      </c>
      <c r="I115" s="6" t="n">
        <v>13</v>
      </c>
      <c r="J115" s="6" t="n">
        <v>0</v>
      </c>
      <c r="K115" s="7" t="n">
        <f aca="false">IF(E115+F115=0,"",E115/(E115+F115))</f>
        <v>0.971428571428571</v>
      </c>
      <c r="L115" s="13" t="str">
        <f aca="false">IF(E115+I115&gt;0,"Yes","No")</f>
        <v>Yes</v>
      </c>
      <c r="M115" s="14" t="s">
        <v>250</v>
      </c>
    </row>
    <row r="116" customFormat="false" ht="15" hidden="false" customHeight="false" outlineLevel="0" collapsed="false">
      <c r="A116" s="9" t="n">
        <v>304</v>
      </c>
      <c r="B116" s="9" t="s">
        <v>251</v>
      </c>
      <c r="C116" s="10" t="n">
        <v>95</v>
      </c>
      <c r="D116" s="10" t="n">
        <v>38</v>
      </c>
      <c r="E116" s="10" t="n">
        <v>133</v>
      </c>
      <c r="F116" s="10" t="n">
        <v>4</v>
      </c>
      <c r="G116" s="10" t="n">
        <v>27</v>
      </c>
      <c r="H116" s="10" t="n">
        <v>10</v>
      </c>
      <c r="I116" s="10" t="n">
        <v>37</v>
      </c>
      <c r="J116" s="10" t="n">
        <v>0</v>
      </c>
      <c r="K116" s="11" t="n">
        <f aca="false">IF(E116+F116=0,"",E116/(E116+F116))</f>
        <v>0.970802919708029</v>
      </c>
      <c r="L116" s="9" t="str">
        <f aca="false">IF(E116+I116&gt;0,"Yes","No")</f>
        <v>Yes</v>
      </c>
      <c r="M116" s="12" t="s">
        <v>252</v>
      </c>
    </row>
    <row r="117" customFormat="false" ht="15" hidden="false" customHeight="false" outlineLevel="0" collapsed="false">
      <c r="A117" s="13" t="n">
        <v>13</v>
      </c>
      <c r="B117" s="13" t="s">
        <v>253</v>
      </c>
      <c r="C117" s="6" t="n">
        <v>53</v>
      </c>
      <c r="D117" s="6" t="n">
        <v>80</v>
      </c>
      <c r="E117" s="6" t="n">
        <v>133</v>
      </c>
      <c r="F117" s="6" t="n">
        <v>0</v>
      </c>
      <c r="G117" s="6" t="n">
        <v>6</v>
      </c>
      <c r="H117" s="6" t="n">
        <v>24</v>
      </c>
      <c r="I117" s="6" t="n">
        <v>30</v>
      </c>
      <c r="J117" s="6" t="n">
        <v>0</v>
      </c>
      <c r="K117" s="7" t="n">
        <f aca="false">IF(E117+F117=0,"",E117/(E117+F117))</f>
        <v>1</v>
      </c>
      <c r="L117" s="13" t="str">
        <f aca="false">IF(E117+I117&gt;0,"Yes","No")</f>
        <v>Yes</v>
      </c>
      <c r="M117" s="14" t="s">
        <v>254</v>
      </c>
    </row>
    <row r="118" customFormat="false" ht="15" hidden="false" customHeight="false" outlineLevel="0" collapsed="false">
      <c r="A118" s="9" t="n">
        <v>418</v>
      </c>
      <c r="B118" s="9" t="s">
        <v>255</v>
      </c>
      <c r="C118" s="10" t="n">
        <v>57</v>
      </c>
      <c r="D118" s="10" t="n">
        <v>73</v>
      </c>
      <c r="E118" s="10" t="n">
        <v>130</v>
      </c>
      <c r="F118" s="10" t="n">
        <v>5</v>
      </c>
      <c r="G118" s="10" t="n">
        <v>44</v>
      </c>
      <c r="H118" s="10" t="n">
        <v>9</v>
      </c>
      <c r="I118" s="10" t="n">
        <v>53</v>
      </c>
      <c r="J118" s="10" t="n">
        <v>0</v>
      </c>
      <c r="K118" s="11" t="n">
        <f aca="false">IF(E118+F118=0,"",E118/(E118+F118))</f>
        <v>0.962962962962963</v>
      </c>
      <c r="L118" s="9" t="str">
        <f aca="false">IF(E118+I118&gt;0,"Yes","No")</f>
        <v>Yes</v>
      </c>
      <c r="M118" s="12" t="s">
        <v>256</v>
      </c>
    </row>
    <row r="119" customFormat="false" ht="15" hidden="false" customHeight="false" outlineLevel="0" collapsed="false">
      <c r="A119" s="13" t="n">
        <v>156</v>
      </c>
      <c r="B119" s="13" t="s">
        <v>257</v>
      </c>
      <c r="C119" s="6" t="n">
        <v>81</v>
      </c>
      <c r="D119" s="6" t="n">
        <v>46</v>
      </c>
      <c r="E119" s="6" t="n">
        <v>127</v>
      </c>
      <c r="F119" s="6" t="n">
        <v>2</v>
      </c>
      <c r="G119" s="6" t="n">
        <v>14</v>
      </c>
      <c r="H119" s="6" t="n">
        <v>6</v>
      </c>
      <c r="I119" s="6" t="n">
        <v>20</v>
      </c>
      <c r="J119" s="6" t="n">
        <v>0</v>
      </c>
      <c r="K119" s="7" t="n">
        <f aca="false">IF(E119+F119=0,"",E119/(E119+F119))</f>
        <v>0.984496124031008</v>
      </c>
      <c r="L119" s="13" t="str">
        <f aca="false">IF(E119+I119&gt;0,"Yes","No")</f>
        <v>Yes</v>
      </c>
      <c r="M119" s="14" t="s">
        <v>258</v>
      </c>
    </row>
    <row r="120" customFormat="false" ht="15" hidden="false" customHeight="false" outlineLevel="0" collapsed="false">
      <c r="A120" s="9" t="n">
        <v>275</v>
      </c>
      <c r="B120" s="9" t="s">
        <v>259</v>
      </c>
      <c r="C120" s="10" t="n">
        <v>103</v>
      </c>
      <c r="D120" s="10" t="n">
        <v>21</v>
      </c>
      <c r="E120" s="10" t="n">
        <v>124</v>
      </c>
      <c r="F120" s="10" t="n">
        <v>2</v>
      </c>
      <c r="G120" s="10" t="n">
        <v>11</v>
      </c>
      <c r="H120" s="10" t="n">
        <v>3</v>
      </c>
      <c r="I120" s="10" t="n">
        <v>14</v>
      </c>
      <c r="J120" s="10" t="n">
        <v>0</v>
      </c>
      <c r="K120" s="11" t="n">
        <f aca="false">IF(E120+F120=0,"",E120/(E120+F120))</f>
        <v>0.984126984126984</v>
      </c>
      <c r="L120" s="9" t="str">
        <f aca="false">IF(E120+I120&gt;0,"Yes","No")</f>
        <v>Yes</v>
      </c>
      <c r="M120" s="12" t="s">
        <v>260</v>
      </c>
    </row>
    <row r="121" customFormat="false" ht="15" hidden="false" customHeight="false" outlineLevel="0" collapsed="false">
      <c r="A121" s="13" t="n">
        <v>355</v>
      </c>
      <c r="B121" s="13" t="s">
        <v>261</v>
      </c>
      <c r="C121" s="6" t="n">
        <v>46</v>
      </c>
      <c r="D121" s="6" t="n">
        <v>77</v>
      </c>
      <c r="E121" s="6" t="n">
        <v>123</v>
      </c>
      <c r="F121" s="6" t="n">
        <v>3</v>
      </c>
      <c r="G121" s="6" t="n">
        <v>28</v>
      </c>
      <c r="H121" s="6" t="n">
        <v>33</v>
      </c>
      <c r="I121" s="6" t="n">
        <v>61</v>
      </c>
      <c r="J121" s="6" t="n">
        <v>0</v>
      </c>
      <c r="K121" s="7" t="n">
        <f aca="false">IF(E121+F121=0,"",E121/(E121+F121))</f>
        <v>0.976190476190476</v>
      </c>
      <c r="L121" s="13" t="str">
        <f aca="false">IF(E121+I121&gt;0,"Yes","No")</f>
        <v>Yes</v>
      </c>
      <c r="M121" s="14" t="s">
        <v>262</v>
      </c>
    </row>
    <row r="122" customFormat="false" ht="15" hidden="false" customHeight="false" outlineLevel="0" collapsed="false">
      <c r="A122" s="9" t="n">
        <v>235</v>
      </c>
      <c r="B122" s="9" t="s">
        <v>263</v>
      </c>
      <c r="C122" s="10" t="n">
        <v>65</v>
      </c>
      <c r="D122" s="10" t="n">
        <v>57</v>
      </c>
      <c r="E122" s="10" t="n">
        <v>122</v>
      </c>
      <c r="F122" s="10" t="n">
        <v>0</v>
      </c>
      <c r="G122" s="10" t="n">
        <v>39</v>
      </c>
      <c r="H122" s="10" t="n">
        <v>13</v>
      </c>
      <c r="I122" s="10" t="n">
        <v>52</v>
      </c>
      <c r="J122" s="10" t="n">
        <v>1</v>
      </c>
      <c r="K122" s="11" t="n">
        <f aca="false">IF(E122+F122=0,"",E122/(E122+F122))</f>
        <v>1</v>
      </c>
      <c r="L122" s="9" t="str">
        <f aca="false">IF(E122+I122&gt;0,"Yes","No")</f>
        <v>Yes</v>
      </c>
      <c r="M122" s="12" t="s">
        <v>264</v>
      </c>
    </row>
    <row r="123" customFormat="false" ht="15" hidden="false" customHeight="false" outlineLevel="0" collapsed="false">
      <c r="A123" s="13" t="n">
        <v>274</v>
      </c>
      <c r="B123" s="13" t="s">
        <v>265</v>
      </c>
      <c r="C123" s="6" t="n">
        <v>48</v>
      </c>
      <c r="D123" s="6" t="n">
        <v>74</v>
      </c>
      <c r="E123" s="6" t="n">
        <v>122</v>
      </c>
      <c r="F123" s="6" t="n">
        <v>1</v>
      </c>
      <c r="G123" s="6" t="n">
        <v>7</v>
      </c>
      <c r="H123" s="6" t="n">
        <v>8</v>
      </c>
      <c r="I123" s="6" t="n">
        <v>15</v>
      </c>
      <c r="J123" s="6" t="n">
        <v>2</v>
      </c>
      <c r="K123" s="7" t="n">
        <f aca="false">IF(E123+F123=0,"",E123/(E123+F123))</f>
        <v>0.991869918699187</v>
      </c>
      <c r="L123" s="13" t="str">
        <f aca="false">IF(E123+I123&gt;0,"Yes","No")</f>
        <v>Yes</v>
      </c>
      <c r="M123" s="14" t="s">
        <v>266</v>
      </c>
    </row>
    <row r="124" customFormat="false" ht="15" hidden="false" customHeight="false" outlineLevel="0" collapsed="false">
      <c r="A124" s="9" t="n">
        <v>57</v>
      </c>
      <c r="B124" s="9" t="s">
        <v>267</v>
      </c>
      <c r="C124" s="10" t="n">
        <v>69</v>
      </c>
      <c r="D124" s="10" t="n">
        <v>52</v>
      </c>
      <c r="E124" s="10" t="n">
        <v>121</v>
      </c>
      <c r="F124" s="10" t="n">
        <v>0</v>
      </c>
      <c r="G124" s="10" t="n">
        <v>6</v>
      </c>
      <c r="H124" s="10" t="n">
        <v>14</v>
      </c>
      <c r="I124" s="10" t="n">
        <v>20</v>
      </c>
      <c r="J124" s="10" t="n">
        <v>0</v>
      </c>
      <c r="K124" s="11" t="n">
        <f aca="false">IF(E124+F124=0,"",E124/(E124+F124))</f>
        <v>1</v>
      </c>
      <c r="L124" s="9" t="str">
        <f aca="false">IF(E124+I124&gt;0,"Yes","No")</f>
        <v>Yes</v>
      </c>
      <c r="M124" s="12" t="s">
        <v>268</v>
      </c>
    </row>
    <row r="125" customFormat="false" ht="15" hidden="false" customHeight="false" outlineLevel="0" collapsed="false">
      <c r="A125" s="13" t="n">
        <v>19</v>
      </c>
      <c r="B125" s="13" t="s">
        <v>269</v>
      </c>
      <c r="C125" s="6" t="n">
        <v>40</v>
      </c>
      <c r="D125" s="6" t="n">
        <v>81</v>
      </c>
      <c r="E125" s="6" t="n">
        <v>121</v>
      </c>
      <c r="F125" s="6" t="n">
        <v>0</v>
      </c>
      <c r="G125" s="6" t="n">
        <v>2</v>
      </c>
      <c r="H125" s="6" t="n">
        <v>7</v>
      </c>
      <c r="I125" s="6" t="n">
        <v>9</v>
      </c>
      <c r="J125" s="6" t="n">
        <v>0</v>
      </c>
      <c r="K125" s="7" t="n">
        <f aca="false">IF(E125+F125=0,"",E125/(E125+F125))</f>
        <v>1</v>
      </c>
      <c r="L125" s="13" t="str">
        <f aca="false">IF(E125+I125&gt;0,"Yes","No")</f>
        <v>Yes</v>
      </c>
      <c r="M125" s="14" t="s">
        <v>270</v>
      </c>
    </row>
    <row r="126" customFormat="false" ht="15" hidden="false" customHeight="false" outlineLevel="0" collapsed="false">
      <c r="A126" s="9" t="n">
        <v>80</v>
      </c>
      <c r="B126" s="9" t="s">
        <v>271</v>
      </c>
      <c r="C126" s="10" t="n">
        <v>46</v>
      </c>
      <c r="D126" s="10" t="n">
        <v>72</v>
      </c>
      <c r="E126" s="10" t="n">
        <v>118</v>
      </c>
      <c r="F126" s="10" t="n">
        <v>0</v>
      </c>
      <c r="G126" s="10" t="n">
        <v>22</v>
      </c>
      <c r="H126" s="10" t="n">
        <v>16</v>
      </c>
      <c r="I126" s="10" t="n">
        <v>38</v>
      </c>
      <c r="J126" s="10" t="n">
        <v>2</v>
      </c>
      <c r="K126" s="11" t="n">
        <f aca="false">IF(E126+F126=0,"",E126/(E126+F126))</f>
        <v>1</v>
      </c>
      <c r="L126" s="9" t="str">
        <f aca="false">IF(E126+I126&gt;0,"Yes","No")</f>
        <v>Yes</v>
      </c>
      <c r="M126" s="12" t="s">
        <v>272</v>
      </c>
    </row>
    <row r="127" customFormat="false" ht="15" hidden="false" customHeight="false" outlineLevel="0" collapsed="false">
      <c r="A127" s="13" t="n">
        <v>175</v>
      </c>
      <c r="B127" s="13" t="s">
        <v>273</v>
      </c>
      <c r="C127" s="6" t="n">
        <v>52</v>
      </c>
      <c r="D127" s="6" t="n">
        <v>66</v>
      </c>
      <c r="E127" s="6" t="n">
        <v>118</v>
      </c>
      <c r="F127" s="6" t="n">
        <v>2</v>
      </c>
      <c r="G127" s="6" t="n">
        <v>6</v>
      </c>
      <c r="H127" s="6" t="n">
        <v>7</v>
      </c>
      <c r="I127" s="6" t="n">
        <v>13</v>
      </c>
      <c r="J127" s="6" t="n">
        <v>1</v>
      </c>
      <c r="K127" s="7" t="n">
        <f aca="false">IF(E127+F127=0,"",E127/(E127+F127))</f>
        <v>0.983333333333333</v>
      </c>
      <c r="L127" s="13" t="str">
        <f aca="false">IF(E127+I127&gt;0,"Yes","No")</f>
        <v>Yes</v>
      </c>
      <c r="M127" s="14" t="s">
        <v>274</v>
      </c>
    </row>
    <row r="128" customFormat="false" ht="15" hidden="false" customHeight="false" outlineLevel="0" collapsed="false">
      <c r="A128" s="9" t="n">
        <v>377</v>
      </c>
      <c r="B128" s="9" t="s">
        <v>275</v>
      </c>
      <c r="C128" s="10" t="n">
        <v>74</v>
      </c>
      <c r="D128" s="10" t="n">
        <v>44</v>
      </c>
      <c r="E128" s="10" t="n">
        <v>118</v>
      </c>
      <c r="F128" s="10" t="n">
        <v>0</v>
      </c>
      <c r="G128" s="10" t="n">
        <v>5</v>
      </c>
      <c r="H128" s="10" t="n">
        <v>4</v>
      </c>
      <c r="I128" s="10" t="n">
        <v>9</v>
      </c>
      <c r="J128" s="10" t="n">
        <v>0</v>
      </c>
      <c r="K128" s="11" t="n">
        <f aca="false">IF(E128+F128=0,"",E128/(E128+F128))</f>
        <v>1</v>
      </c>
      <c r="L128" s="9" t="str">
        <f aca="false">IF(E128+I128&gt;0,"Yes","No")</f>
        <v>Yes</v>
      </c>
      <c r="M128" s="12" t="s">
        <v>276</v>
      </c>
    </row>
    <row r="129" customFormat="false" ht="15" hidden="false" customHeight="false" outlineLevel="0" collapsed="false">
      <c r="A129" s="13" t="n">
        <v>15</v>
      </c>
      <c r="B129" s="13" t="s">
        <v>277</v>
      </c>
      <c r="C129" s="6" t="n">
        <v>48</v>
      </c>
      <c r="D129" s="6" t="n">
        <v>69</v>
      </c>
      <c r="E129" s="6" t="n">
        <v>117</v>
      </c>
      <c r="F129" s="6" t="n">
        <v>0</v>
      </c>
      <c r="G129" s="6" t="n">
        <v>17</v>
      </c>
      <c r="H129" s="6" t="n">
        <v>22</v>
      </c>
      <c r="I129" s="6" t="n">
        <v>39</v>
      </c>
      <c r="J129" s="6" t="n">
        <v>0</v>
      </c>
      <c r="K129" s="7" t="n">
        <f aca="false">IF(E129+F129=0,"",E129/(E129+F129))</f>
        <v>1</v>
      </c>
      <c r="L129" s="13" t="str">
        <f aca="false">IF(E129+I129&gt;0,"Yes","No")</f>
        <v>Yes</v>
      </c>
      <c r="M129" s="14" t="s">
        <v>278</v>
      </c>
    </row>
    <row r="130" customFormat="false" ht="15" hidden="false" customHeight="false" outlineLevel="0" collapsed="false">
      <c r="A130" s="9" t="n">
        <v>410</v>
      </c>
      <c r="B130" s="9" t="s">
        <v>279</v>
      </c>
      <c r="C130" s="10" t="n">
        <v>31</v>
      </c>
      <c r="D130" s="10" t="n">
        <v>86</v>
      </c>
      <c r="E130" s="10" t="n">
        <v>117</v>
      </c>
      <c r="F130" s="10" t="n">
        <v>1</v>
      </c>
      <c r="G130" s="10" t="n">
        <v>10</v>
      </c>
      <c r="H130" s="10" t="n">
        <v>8</v>
      </c>
      <c r="I130" s="10" t="n">
        <v>18</v>
      </c>
      <c r="J130" s="10" t="n">
        <v>1</v>
      </c>
      <c r="K130" s="11" t="n">
        <f aca="false">IF(E130+F130=0,"",E130/(E130+F130))</f>
        <v>0.991525423728814</v>
      </c>
      <c r="L130" s="9" t="str">
        <f aca="false">IF(E130+I130&gt;0,"Yes","No")</f>
        <v>Yes</v>
      </c>
      <c r="M130" s="12" t="s">
        <v>280</v>
      </c>
    </row>
    <row r="131" customFormat="false" ht="15" hidden="false" customHeight="false" outlineLevel="0" collapsed="false">
      <c r="A131" s="13" t="n">
        <v>211</v>
      </c>
      <c r="B131" s="13" t="s">
        <v>281</v>
      </c>
      <c r="C131" s="6" t="n">
        <v>45</v>
      </c>
      <c r="D131" s="6" t="n">
        <v>71</v>
      </c>
      <c r="E131" s="6" t="n">
        <v>116</v>
      </c>
      <c r="F131" s="6" t="n">
        <v>0</v>
      </c>
      <c r="G131" s="6" t="n">
        <v>5</v>
      </c>
      <c r="H131" s="6" t="n">
        <v>13</v>
      </c>
      <c r="I131" s="6" t="n">
        <v>18</v>
      </c>
      <c r="J131" s="6" t="n">
        <v>0</v>
      </c>
      <c r="K131" s="7" t="n">
        <f aca="false">IF(E131+F131=0,"",E131/(E131+F131))</f>
        <v>1</v>
      </c>
      <c r="L131" s="13" t="str">
        <f aca="false">IF(E131+I131&gt;0,"Yes","No")</f>
        <v>Yes</v>
      </c>
      <c r="M131" s="14" t="s">
        <v>282</v>
      </c>
    </row>
    <row r="132" customFormat="false" ht="15" hidden="false" customHeight="false" outlineLevel="0" collapsed="false">
      <c r="A132" s="9" t="n">
        <v>59</v>
      </c>
      <c r="B132" s="9" t="s">
        <v>283</v>
      </c>
      <c r="C132" s="10" t="n">
        <v>79</v>
      </c>
      <c r="D132" s="10" t="n">
        <v>36</v>
      </c>
      <c r="E132" s="10" t="n">
        <v>115</v>
      </c>
      <c r="F132" s="10" t="n">
        <v>2</v>
      </c>
      <c r="G132" s="10" t="n">
        <v>17</v>
      </c>
      <c r="H132" s="10" t="n">
        <v>16</v>
      </c>
      <c r="I132" s="10" t="n">
        <v>33</v>
      </c>
      <c r="J132" s="10" t="n">
        <v>0</v>
      </c>
      <c r="K132" s="11" t="n">
        <f aca="false">IF(E132+F132=0,"",E132/(E132+F132))</f>
        <v>0.982905982905983</v>
      </c>
      <c r="L132" s="9" t="str">
        <f aca="false">IF(E132+I132&gt;0,"Yes","No")</f>
        <v>Yes</v>
      </c>
      <c r="M132" s="12" t="s">
        <v>284</v>
      </c>
    </row>
    <row r="133" customFormat="false" ht="15" hidden="false" customHeight="false" outlineLevel="0" collapsed="false">
      <c r="A133" s="13" t="n">
        <v>446</v>
      </c>
      <c r="B133" s="13" t="s">
        <v>285</v>
      </c>
      <c r="C133" s="6" t="n">
        <v>57</v>
      </c>
      <c r="D133" s="6" t="n">
        <v>57</v>
      </c>
      <c r="E133" s="6" t="n">
        <v>114</v>
      </c>
      <c r="F133" s="6" t="n">
        <v>1</v>
      </c>
      <c r="G133" s="6" t="n">
        <v>5</v>
      </c>
      <c r="H133" s="6" t="n">
        <v>20</v>
      </c>
      <c r="I133" s="6" t="n">
        <v>25</v>
      </c>
      <c r="J133" s="6" t="n">
        <v>0</v>
      </c>
      <c r="K133" s="7" t="n">
        <f aca="false">IF(E133+F133=0,"",E133/(E133+F133))</f>
        <v>0.991304347826087</v>
      </c>
      <c r="L133" s="13" t="str">
        <f aca="false">IF(E133+I133&gt;0,"Yes","No")</f>
        <v>Yes</v>
      </c>
      <c r="M133" s="14" t="s">
        <v>286</v>
      </c>
    </row>
    <row r="134" customFormat="false" ht="15" hidden="false" customHeight="false" outlineLevel="0" collapsed="false">
      <c r="A134" s="9" t="n">
        <v>312</v>
      </c>
      <c r="B134" s="9" t="s">
        <v>287</v>
      </c>
      <c r="C134" s="10" t="n">
        <v>61</v>
      </c>
      <c r="D134" s="10" t="n">
        <v>50</v>
      </c>
      <c r="E134" s="10" t="n">
        <v>111</v>
      </c>
      <c r="F134" s="10" t="n">
        <v>0</v>
      </c>
      <c r="G134" s="10" t="n">
        <v>5</v>
      </c>
      <c r="H134" s="10" t="n">
        <v>9</v>
      </c>
      <c r="I134" s="10" t="n">
        <v>14</v>
      </c>
      <c r="J134" s="10" t="n">
        <v>0</v>
      </c>
      <c r="K134" s="11" t="n">
        <f aca="false">IF(E134+F134=0,"",E134/(E134+F134))</f>
        <v>1</v>
      </c>
      <c r="L134" s="9" t="str">
        <f aca="false">IF(E134+I134&gt;0,"Yes","No")</f>
        <v>Yes</v>
      </c>
      <c r="M134" s="12" t="s">
        <v>288</v>
      </c>
    </row>
    <row r="135" customFormat="false" ht="15" hidden="false" customHeight="false" outlineLevel="0" collapsed="false">
      <c r="A135" s="13" t="n">
        <v>152</v>
      </c>
      <c r="B135" s="13" t="s">
        <v>289</v>
      </c>
      <c r="C135" s="6" t="n">
        <v>8</v>
      </c>
      <c r="D135" s="6" t="n">
        <v>103</v>
      </c>
      <c r="E135" s="6" t="n">
        <v>111</v>
      </c>
      <c r="F135" s="6" t="n">
        <v>0</v>
      </c>
      <c r="G135" s="6" t="n">
        <v>0</v>
      </c>
      <c r="H135" s="6" t="n">
        <v>11</v>
      </c>
      <c r="I135" s="6" t="n">
        <v>11</v>
      </c>
      <c r="J135" s="6" t="n">
        <v>0</v>
      </c>
      <c r="K135" s="7" t="n">
        <f aca="false">IF(E135+F135=0,"",E135/(E135+F135))</f>
        <v>1</v>
      </c>
      <c r="L135" s="13" t="str">
        <f aca="false">IF(E135+I135&gt;0,"Yes","No")</f>
        <v>Yes</v>
      </c>
      <c r="M135" s="14" t="s">
        <v>290</v>
      </c>
    </row>
    <row r="136" customFormat="false" ht="15" hidden="false" customHeight="false" outlineLevel="0" collapsed="false">
      <c r="A136" s="9" t="n">
        <v>348</v>
      </c>
      <c r="B136" s="9" t="s">
        <v>291</v>
      </c>
      <c r="C136" s="10" t="n">
        <v>88</v>
      </c>
      <c r="D136" s="10" t="n">
        <v>22</v>
      </c>
      <c r="E136" s="10" t="n">
        <v>110</v>
      </c>
      <c r="F136" s="10" t="n">
        <v>1</v>
      </c>
      <c r="G136" s="10" t="n">
        <v>52</v>
      </c>
      <c r="H136" s="10" t="n">
        <v>7</v>
      </c>
      <c r="I136" s="10" t="n">
        <v>59</v>
      </c>
      <c r="J136" s="10" t="n">
        <v>1</v>
      </c>
      <c r="K136" s="11" t="n">
        <f aca="false">IF(E136+F136=0,"",E136/(E136+F136))</f>
        <v>0.990990990990991</v>
      </c>
      <c r="L136" s="9" t="str">
        <f aca="false">IF(E136+I136&gt;0,"Yes","No")</f>
        <v>Yes</v>
      </c>
      <c r="M136" s="12" t="s">
        <v>292</v>
      </c>
    </row>
    <row r="137" customFormat="false" ht="15" hidden="false" customHeight="false" outlineLevel="0" collapsed="false">
      <c r="A137" s="13" t="n">
        <v>8</v>
      </c>
      <c r="B137" s="13" t="s">
        <v>293</v>
      </c>
      <c r="C137" s="6" t="n">
        <v>55</v>
      </c>
      <c r="D137" s="6" t="n">
        <v>54</v>
      </c>
      <c r="E137" s="6" t="n">
        <v>109</v>
      </c>
      <c r="F137" s="6" t="n">
        <v>1</v>
      </c>
      <c r="G137" s="6" t="n">
        <v>8</v>
      </c>
      <c r="H137" s="6" t="n">
        <v>8</v>
      </c>
      <c r="I137" s="6" t="n">
        <v>16</v>
      </c>
      <c r="J137" s="6" t="n">
        <v>1</v>
      </c>
      <c r="K137" s="7" t="n">
        <f aca="false">IF(E137+F137=0,"",E137/(E137+F137))</f>
        <v>0.990909090909091</v>
      </c>
      <c r="L137" s="13" t="str">
        <f aca="false">IF(E137+I137&gt;0,"Yes","No")</f>
        <v>Yes</v>
      </c>
      <c r="M137" s="14" t="s">
        <v>294</v>
      </c>
    </row>
    <row r="138" customFormat="false" ht="15" hidden="false" customHeight="false" outlineLevel="0" collapsed="false">
      <c r="A138" s="9" t="n">
        <v>44</v>
      </c>
      <c r="B138" s="9" t="s">
        <v>295</v>
      </c>
      <c r="C138" s="10" t="n">
        <v>55</v>
      </c>
      <c r="D138" s="10" t="n">
        <v>48</v>
      </c>
      <c r="E138" s="10" t="n">
        <v>103</v>
      </c>
      <c r="F138" s="10" t="n">
        <v>2</v>
      </c>
      <c r="G138" s="10" t="n">
        <v>24</v>
      </c>
      <c r="H138" s="10" t="n">
        <v>11</v>
      </c>
      <c r="I138" s="10" t="n">
        <v>35</v>
      </c>
      <c r="J138" s="10" t="n">
        <v>0</v>
      </c>
      <c r="K138" s="11" t="n">
        <f aca="false">IF(E138+F138=0,"",E138/(E138+F138))</f>
        <v>0.980952380952381</v>
      </c>
      <c r="L138" s="9" t="str">
        <f aca="false">IF(E138+I138&gt;0,"Yes","No")</f>
        <v>Yes</v>
      </c>
      <c r="M138" s="12" t="s">
        <v>296</v>
      </c>
    </row>
    <row r="139" customFormat="false" ht="15" hidden="false" customHeight="false" outlineLevel="0" collapsed="false">
      <c r="A139" s="13" t="n">
        <v>43</v>
      </c>
      <c r="B139" s="13" t="s">
        <v>297</v>
      </c>
      <c r="C139" s="6" t="n">
        <v>27</v>
      </c>
      <c r="D139" s="6" t="n">
        <v>76</v>
      </c>
      <c r="E139" s="6" t="n">
        <v>103</v>
      </c>
      <c r="F139" s="6" t="n">
        <v>1</v>
      </c>
      <c r="G139" s="6" t="n">
        <v>6</v>
      </c>
      <c r="H139" s="6" t="n">
        <v>13</v>
      </c>
      <c r="I139" s="6" t="n">
        <v>19</v>
      </c>
      <c r="J139" s="6" t="n">
        <v>0</v>
      </c>
      <c r="K139" s="7" t="n">
        <f aca="false">IF(E139+F139=0,"",E139/(E139+F139))</f>
        <v>0.990384615384615</v>
      </c>
      <c r="L139" s="13" t="str">
        <f aca="false">IF(E139+I139&gt;0,"Yes","No")</f>
        <v>Yes</v>
      </c>
      <c r="M139" s="14" t="s">
        <v>298</v>
      </c>
    </row>
    <row r="140" customFormat="false" ht="15" hidden="false" customHeight="false" outlineLevel="0" collapsed="false">
      <c r="A140" s="9" t="n">
        <v>109</v>
      </c>
      <c r="B140" s="9" t="s">
        <v>299</v>
      </c>
      <c r="C140" s="10" t="n">
        <v>47</v>
      </c>
      <c r="D140" s="10" t="n">
        <v>55</v>
      </c>
      <c r="E140" s="10" t="n">
        <v>102</v>
      </c>
      <c r="F140" s="10" t="n">
        <v>0</v>
      </c>
      <c r="G140" s="10" t="n">
        <v>13</v>
      </c>
      <c r="H140" s="10" t="n">
        <v>15</v>
      </c>
      <c r="I140" s="10" t="n">
        <v>28</v>
      </c>
      <c r="J140" s="10" t="n">
        <v>0</v>
      </c>
      <c r="K140" s="11" t="n">
        <f aca="false">IF(E140+F140=0,"",E140/(E140+F140))</f>
        <v>1</v>
      </c>
      <c r="L140" s="9" t="str">
        <f aca="false">IF(E140+I140&gt;0,"Yes","No")</f>
        <v>Yes</v>
      </c>
      <c r="M140" s="12" t="s">
        <v>300</v>
      </c>
    </row>
    <row r="141" customFormat="false" ht="15" hidden="false" customHeight="false" outlineLevel="0" collapsed="false">
      <c r="A141" s="13" t="n">
        <v>247</v>
      </c>
      <c r="B141" s="13" t="s">
        <v>301</v>
      </c>
      <c r="C141" s="6" t="n">
        <v>28</v>
      </c>
      <c r="D141" s="6" t="n">
        <v>74</v>
      </c>
      <c r="E141" s="6" t="n">
        <v>102</v>
      </c>
      <c r="F141" s="6" t="n">
        <v>0</v>
      </c>
      <c r="G141" s="6" t="n">
        <v>8</v>
      </c>
      <c r="H141" s="6" t="n">
        <v>6</v>
      </c>
      <c r="I141" s="6" t="n">
        <v>14</v>
      </c>
      <c r="J141" s="6" t="n">
        <v>0</v>
      </c>
      <c r="K141" s="7" t="n">
        <f aca="false">IF(E141+F141=0,"",E141/(E141+F141))</f>
        <v>1</v>
      </c>
      <c r="L141" s="13" t="str">
        <f aca="false">IF(E141+I141&gt;0,"Yes","No")</f>
        <v>Yes</v>
      </c>
      <c r="M141" s="14" t="s">
        <v>302</v>
      </c>
    </row>
    <row r="142" customFormat="false" ht="15" hidden="false" customHeight="false" outlineLevel="0" collapsed="false">
      <c r="A142" s="9" t="n">
        <v>264</v>
      </c>
      <c r="B142" s="9" t="s">
        <v>303</v>
      </c>
      <c r="C142" s="10" t="n">
        <v>64</v>
      </c>
      <c r="D142" s="10" t="n">
        <v>36</v>
      </c>
      <c r="E142" s="10" t="n">
        <v>100</v>
      </c>
      <c r="F142" s="10" t="n">
        <v>1</v>
      </c>
      <c r="G142" s="10" t="n">
        <v>7</v>
      </c>
      <c r="H142" s="10" t="n">
        <v>13</v>
      </c>
      <c r="I142" s="10" t="n">
        <v>20</v>
      </c>
      <c r="J142" s="10" t="n">
        <v>0</v>
      </c>
      <c r="K142" s="11" t="n">
        <f aca="false">IF(E142+F142=0,"",E142/(E142+F142))</f>
        <v>0.99009900990099</v>
      </c>
      <c r="L142" s="9" t="str">
        <f aca="false">IF(E142+I142&gt;0,"Yes","No")</f>
        <v>Yes</v>
      </c>
      <c r="M142" s="12" t="s">
        <v>304</v>
      </c>
    </row>
    <row r="143" customFormat="false" ht="15" hidden="false" customHeight="false" outlineLevel="0" collapsed="false">
      <c r="A143" s="13" t="n">
        <v>328</v>
      </c>
      <c r="B143" s="13" t="s">
        <v>305</v>
      </c>
      <c r="C143" s="6" t="n">
        <v>41</v>
      </c>
      <c r="D143" s="6" t="n">
        <v>58</v>
      </c>
      <c r="E143" s="6" t="n">
        <v>99</v>
      </c>
      <c r="F143" s="6" t="n">
        <v>1</v>
      </c>
      <c r="G143" s="6" t="n">
        <v>5</v>
      </c>
      <c r="H143" s="6" t="n">
        <v>15</v>
      </c>
      <c r="I143" s="6" t="n">
        <v>20</v>
      </c>
      <c r="J143" s="6" t="n">
        <v>0</v>
      </c>
      <c r="K143" s="7" t="n">
        <f aca="false">IF(E143+F143=0,"",E143/(E143+F143))</f>
        <v>0.99</v>
      </c>
      <c r="L143" s="13" t="str">
        <f aca="false">IF(E143+I143&gt;0,"Yes","No")</f>
        <v>Yes</v>
      </c>
      <c r="M143" s="14" t="s">
        <v>306</v>
      </c>
    </row>
    <row r="144" customFormat="false" ht="15" hidden="false" customHeight="false" outlineLevel="0" collapsed="false">
      <c r="A144" s="9" t="n">
        <v>157</v>
      </c>
      <c r="B144" s="9" t="s">
        <v>307</v>
      </c>
      <c r="C144" s="10" t="n">
        <v>61</v>
      </c>
      <c r="D144" s="10" t="n">
        <v>37</v>
      </c>
      <c r="E144" s="10" t="n">
        <v>98</v>
      </c>
      <c r="F144" s="10" t="n">
        <v>0</v>
      </c>
      <c r="G144" s="10" t="n">
        <v>2</v>
      </c>
      <c r="H144" s="10" t="n">
        <v>8</v>
      </c>
      <c r="I144" s="10" t="n">
        <v>10</v>
      </c>
      <c r="J144" s="10" t="n">
        <v>1</v>
      </c>
      <c r="K144" s="11" t="n">
        <f aca="false">IF(E144+F144=0,"",E144/(E144+F144))</f>
        <v>1</v>
      </c>
      <c r="L144" s="9" t="str">
        <f aca="false">IF(E144+I144&gt;0,"Yes","No")</f>
        <v>Yes</v>
      </c>
      <c r="M144" s="12" t="s">
        <v>308</v>
      </c>
    </row>
    <row r="145" customFormat="false" ht="15" hidden="false" customHeight="false" outlineLevel="0" collapsed="false">
      <c r="A145" s="13" t="n">
        <v>232</v>
      </c>
      <c r="B145" s="13" t="s">
        <v>309</v>
      </c>
      <c r="C145" s="6" t="n">
        <v>56</v>
      </c>
      <c r="D145" s="6" t="n">
        <v>41</v>
      </c>
      <c r="E145" s="6" t="n">
        <v>97</v>
      </c>
      <c r="F145" s="6" t="n">
        <v>1</v>
      </c>
      <c r="G145" s="6" t="n">
        <v>5</v>
      </c>
      <c r="H145" s="6" t="n">
        <v>5</v>
      </c>
      <c r="I145" s="6" t="n">
        <v>10</v>
      </c>
      <c r="J145" s="6" t="n">
        <v>0</v>
      </c>
      <c r="K145" s="7" t="n">
        <f aca="false">IF(E145+F145=0,"",E145/(E145+F145))</f>
        <v>0.989795918367347</v>
      </c>
      <c r="L145" s="13" t="str">
        <f aca="false">IF(E145+I145&gt;0,"Yes","No")</f>
        <v>Yes</v>
      </c>
      <c r="M145" s="14" t="s">
        <v>310</v>
      </c>
    </row>
    <row r="146" customFormat="false" ht="15" hidden="false" customHeight="false" outlineLevel="0" collapsed="false">
      <c r="A146" s="9" t="n">
        <v>74</v>
      </c>
      <c r="B146" s="9" t="s">
        <v>311</v>
      </c>
      <c r="C146" s="10" t="n">
        <v>43</v>
      </c>
      <c r="D146" s="10" t="n">
        <v>53</v>
      </c>
      <c r="E146" s="10" t="n">
        <v>96</v>
      </c>
      <c r="F146" s="10" t="n">
        <v>0</v>
      </c>
      <c r="G146" s="10" t="n">
        <v>13</v>
      </c>
      <c r="H146" s="10" t="n">
        <v>10</v>
      </c>
      <c r="I146" s="10" t="n">
        <v>23</v>
      </c>
      <c r="J146" s="10" t="n">
        <v>0</v>
      </c>
      <c r="K146" s="11" t="n">
        <f aca="false">IF(E146+F146=0,"",E146/(E146+F146))</f>
        <v>1</v>
      </c>
      <c r="L146" s="9" t="str">
        <f aca="false">IF(E146+I146&gt;0,"Yes","No")</f>
        <v>Yes</v>
      </c>
      <c r="M146" s="12" t="s">
        <v>312</v>
      </c>
    </row>
    <row r="147" customFormat="false" ht="15" hidden="false" customHeight="false" outlineLevel="0" collapsed="false">
      <c r="A147" s="13" t="n">
        <v>122</v>
      </c>
      <c r="B147" s="13" t="s">
        <v>313</v>
      </c>
      <c r="C147" s="6" t="n">
        <v>77</v>
      </c>
      <c r="D147" s="6" t="n">
        <v>17</v>
      </c>
      <c r="E147" s="6" t="n">
        <v>94</v>
      </c>
      <c r="F147" s="6" t="n">
        <v>2</v>
      </c>
      <c r="G147" s="6" t="n">
        <v>6</v>
      </c>
      <c r="H147" s="6" t="n">
        <v>5</v>
      </c>
      <c r="I147" s="6" t="n">
        <v>11</v>
      </c>
      <c r="J147" s="6" t="n">
        <v>0</v>
      </c>
      <c r="K147" s="7" t="n">
        <f aca="false">IF(E147+F147=0,"",E147/(E147+F147))</f>
        <v>0.979166666666667</v>
      </c>
      <c r="L147" s="13" t="str">
        <f aca="false">IF(E147+I147&gt;0,"Yes","No")</f>
        <v>Yes</v>
      </c>
      <c r="M147" s="14" t="s">
        <v>314</v>
      </c>
    </row>
    <row r="148" customFormat="false" ht="15" hidden="false" customHeight="false" outlineLevel="0" collapsed="false">
      <c r="A148" s="9" t="n">
        <v>170</v>
      </c>
      <c r="B148" s="9" t="s">
        <v>315</v>
      </c>
      <c r="C148" s="10" t="n">
        <v>47</v>
      </c>
      <c r="D148" s="10" t="n">
        <v>47</v>
      </c>
      <c r="E148" s="10" t="n">
        <v>94</v>
      </c>
      <c r="F148" s="10" t="n">
        <v>4</v>
      </c>
      <c r="G148" s="10" t="n">
        <v>5</v>
      </c>
      <c r="H148" s="10" t="n">
        <v>6</v>
      </c>
      <c r="I148" s="10" t="n">
        <v>11</v>
      </c>
      <c r="J148" s="10" t="n">
        <v>1</v>
      </c>
      <c r="K148" s="11" t="n">
        <f aca="false">IF(E148+F148=0,"",E148/(E148+F148))</f>
        <v>0.959183673469388</v>
      </c>
      <c r="L148" s="9" t="str">
        <f aca="false">IF(E148+I148&gt;0,"Yes","No")</f>
        <v>Yes</v>
      </c>
      <c r="M148" s="12" t="s">
        <v>316</v>
      </c>
    </row>
    <row r="149" customFormat="false" ht="15" hidden="false" customHeight="false" outlineLevel="0" collapsed="false">
      <c r="A149" s="13" t="n">
        <v>346</v>
      </c>
      <c r="B149" s="13" t="s">
        <v>317</v>
      </c>
      <c r="C149" s="6" t="n">
        <v>65</v>
      </c>
      <c r="D149" s="6" t="n">
        <v>24</v>
      </c>
      <c r="E149" s="6" t="n">
        <v>89</v>
      </c>
      <c r="F149" s="6" t="n">
        <v>0</v>
      </c>
      <c r="G149" s="6" t="n">
        <v>43</v>
      </c>
      <c r="H149" s="6" t="n">
        <v>13</v>
      </c>
      <c r="I149" s="6" t="n">
        <v>56</v>
      </c>
      <c r="J149" s="6" t="n">
        <v>0</v>
      </c>
      <c r="K149" s="7" t="n">
        <f aca="false">IF(E149+F149=0,"",E149/(E149+F149))</f>
        <v>1</v>
      </c>
      <c r="L149" s="13" t="str">
        <f aca="false">IF(E149+I149&gt;0,"Yes","No")</f>
        <v>Yes</v>
      </c>
      <c r="M149" s="14" t="s">
        <v>318</v>
      </c>
    </row>
    <row r="150" customFormat="false" ht="15" hidden="false" customHeight="false" outlineLevel="0" collapsed="false">
      <c r="A150" s="9" t="n">
        <v>218</v>
      </c>
      <c r="B150" s="9" t="s">
        <v>319</v>
      </c>
      <c r="C150" s="10" t="n">
        <v>31</v>
      </c>
      <c r="D150" s="10" t="n">
        <v>57</v>
      </c>
      <c r="E150" s="10" t="n">
        <v>88</v>
      </c>
      <c r="F150" s="10" t="n">
        <v>0</v>
      </c>
      <c r="G150" s="10" t="n">
        <v>15</v>
      </c>
      <c r="H150" s="10" t="n">
        <v>9</v>
      </c>
      <c r="I150" s="10" t="n">
        <v>24</v>
      </c>
      <c r="J150" s="10" t="n">
        <v>4</v>
      </c>
      <c r="K150" s="11" t="n">
        <f aca="false">IF(E150+F150=0,"",E150/(E150+F150))</f>
        <v>1</v>
      </c>
      <c r="L150" s="9" t="str">
        <f aca="false">IF(E150+I150&gt;0,"Yes","No")</f>
        <v>Yes</v>
      </c>
      <c r="M150" s="12" t="s">
        <v>320</v>
      </c>
    </row>
    <row r="151" customFormat="false" ht="15" hidden="false" customHeight="false" outlineLevel="0" collapsed="false">
      <c r="A151" s="13" t="n">
        <v>436</v>
      </c>
      <c r="B151" s="13" t="s">
        <v>321</v>
      </c>
      <c r="C151" s="6" t="n">
        <v>35</v>
      </c>
      <c r="D151" s="6" t="n">
        <v>53</v>
      </c>
      <c r="E151" s="6" t="n">
        <v>88</v>
      </c>
      <c r="F151" s="6" t="n">
        <v>0</v>
      </c>
      <c r="G151" s="6" t="n">
        <v>1</v>
      </c>
      <c r="H151" s="6" t="n">
        <v>12</v>
      </c>
      <c r="I151" s="6" t="n">
        <v>13</v>
      </c>
      <c r="J151" s="6" t="n">
        <v>0</v>
      </c>
      <c r="K151" s="7" t="n">
        <f aca="false">IF(E151+F151=0,"",E151/(E151+F151))</f>
        <v>1</v>
      </c>
      <c r="L151" s="13" t="str">
        <f aca="false">IF(E151+I151&gt;0,"Yes","No")</f>
        <v>Yes</v>
      </c>
      <c r="M151" s="14" t="s">
        <v>322</v>
      </c>
    </row>
    <row r="152" customFormat="false" ht="15" hidden="false" customHeight="false" outlineLevel="0" collapsed="false">
      <c r="A152" s="9" t="n">
        <v>408</v>
      </c>
      <c r="B152" s="9" t="s">
        <v>323</v>
      </c>
      <c r="C152" s="10" t="n">
        <v>52</v>
      </c>
      <c r="D152" s="10" t="n">
        <v>35</v>
      </c>
      <c r="E152" s="10" t="n">
        <v>87</v>
      </c>
      <c r="F152" s="10" t="n">
        <v>0</v>
      </c>
      <c r="G152" s="10" t="n">
        <v>5</v>
      </c>
      <c r="H152" s="10" t="n">
        <v>2</v>
      </c>
      <c r="I152" s="10" t="n">
        <v>7</v>
      </c>
      <c r="J152" s="10" t="n">
        <v>1</v>
      </c>
      <c r="K152" s="11" t="n">
        <f aca="false">IF(E152+F152=0,"",E152/(E152+F152))</f>
        <v>1</v>
      </c>
      <c r="L152" s="9" t="str">
        <f aca="false">IF(E152+I152&gt;0,"Yes","No")</f>
        <v>Yes</v>
      </c>
      <c r="M152" s="12" t="s">
        <v>324</v>
      </c>
    </row>
    <row r="153" customFormat="false" ht="15" hidden="false" customHeight="false" outlineLevel="0" collapsed="false">
      <c r="A153" s="13" t="n">
        <v>206</v>
      </c>
      <c r="B153" s="13" t="s">
        <v>325</v>
      </c>
      <c r="C153" s="6" t="n">
        <v>45</v>
      </c>
      <c r="D153" s="6" t="n">
        <v>41</v>
      </c>
      <c r="E153" s="6" t="n">
        <v>86</v>
      </c>
      <c r="F153" s="6" t="n">
        <v>3</v>
      </c>
      <c r="G153" s="6" t="n">
        <v>6</v>
      </c>
      <c r="H153" s="6" t="n">
        <v>12</v>
      </c>
      <c r="I153" s="6" t="n">
        <v>18</v>
      </c>
      <c r="J153" s="6" t="n">
        <v>0</v>
      </c>
      <c r="K153" s="7" t="n">
        <f aca="false">IF(E153+F153=0,"",E153/(E153+F153))</f>
        <v>0.966292134831461</v>
      </c>
      <c r="L153" s="13" t="str">
        <f aca="false">IF(E153+I153&gt;0,"Yes","No")</f>
        <v>Yes</v>
      </c>
      <c r="M153" s="14" t="s">
        <v>326</v>
      </c>
    </row>
    <row r="154" customFormat="false" ht="15" hidden="false" customHeight="false" outlineLevel="0" collapsed="false">
      <c r="A154" s="9" t="n">
        <v>273</v>
      </c>
      <c r="B154" s="9" t="s">
        <v>327</v>
      </c>
      <c r="C154" s="10" t="n">
        <v>19</v>
      </c>
      <c r="D154" s="10" t="n">
        <v>66</v>
      </c>
      <c r="E154" s="10" t="n">
        <v>85</v>
      </c>
      <c r="F154" s="10" t="n">
        <v>1</v>
      </c>
      <c r="G154" s="10" t="n">
        <v>10</v>
      </c>
      <c r="H154" s="10" t="n">
        <v>9</v>
      </c>
      <c r="I154" s="10" t="n">
        <v>19</v>
      </c>
      <c r="J154" s="10" t="n">
        <v>1</v>
      </c>
      <c r="K154" s="11" t="n">
        <f aca="false">IF(E154+F154=0,"",E154/(E154+F154))</f>
        <v>0.988372093023256</v>
      </c>
      <c r="L154" s="9" t="str">
        <f aca="false">IF(E154+I154&gt;0,"Yes","No")</f>
        <v>Yes</v>
      </c>
      <c r="M154" s="12" t="s">
        <v>328</v>
      </c>
    </row>
    <row r="155" customFormat="false" ht="15" hidden="false" customHeight="false" outlineLevel="0" collapsed="false">
      <c r="A155" s="13" t="n">
        <v>288</v>
      </c>
      <c r="B155" s="13" t="s">
        <v>329</v>
      </c>
      <c r="C155" s="6" t="n">
        <v>48</v>
      </c>
      <c r="D155" s="6" t="n">
        <v>37</v>
      </c>
      <c r="E155" s="6" t="n">
        <v>85</v>
      </c>
      <c r="F155" s="6" t="n">
        <v>1</v>
      </c>
      <c r="G155" s="6" t="n">
        <v>10</v>
      </c>
      <c r="H155" s="6" t="n">
        <v>7</v>
      </c>
      <c r="I155" s="6" t="n">
        <v>17</v>
      </c>
      <c r="J155" s="6" t="n">
        <v>0</v>
      </c>
      <c r="K155" s="7" t="n">
        <f aca="false">IF(E155+F155=0,"",E155/(E155+F155))</f>
        <v>0.988372093023256</v>
      </c>
      <c r="L155" s="13" t="str">
        <f aca="false">IF(E155+I155&gt;0,"Yes","No")</f>
        <v>Yes</v>
      </c>
      <c r="M155" s="14" t="s">
        <v>330</v>
      </c>
    </row>
    <row r="156" customFormat="false" ht="15" hidden="false" customHeight="false" outlineLevel="0" collapsed="false">
      <c r="A156" s="9" t="n">
        <v>395</v>
      </c>
      <c r="B156" s="9" t="s">
        <v>331</v>
      </c>
      <c r="C156" s="10" t="n">
        <v>40</v>
      </c>
      <c r="D156" s="10" t="n">
        <v>45</v>
      </c>
      <c r="E156" s="10" t="n">
        <v>85</v>
      </c>
      <c r="F156" s="10" t="n">
        <v>0</v>
      </c>
      <c r="G156" s="10" t="n">
        <v>4</v>
      </c>
      <c r="H156" s="10" t="n">
        <v>2</v>
      </c>
      <c r="I156" s="10" t="n">
        <v>6</v>
      </c>
      <c r="J156" s="10" t="n">
        <v>0</v>
      </c>
      <c r="K156" s="11" t="n">
        <f aca="false">IF(E156+F156=0,"",E156/(E156+F156))</f>
        <v>1</v>
      </c>
      <c r="L156" s="9" t="str">
        <f aca="false">IF(E156+I156&gt;0,"Yes","No")</f>
        <v>Yes</v>
      </c>
      <c r="M156" s="12" t="s">
        <v>332</v>
      </c>
    </row>
    <row r="157" customFormat="false" ht="15" hidden="false" customHeight="false" outlineLevel="0" collapsed="false">
      <c r="A157" s="13" t="n">
        <v>243</v>
      </c>
      <c r="B157" s="13" t="s">
        <v>333</v>
      </c>
      <c r="C157" s="6" t="n">
        <v>43</v>
      </c>
      <c r="D157" s="6" t="n">
        <v>41</v>
      </c>
      <c r="E157" s="6" t="n">
        <v>84</v>
      </c>
      <c r="F157" s="6" t="n">
        <v>3</v>
      </c>
      <c r="G157" s="6" t="n">
        <v>6</v>
      </c>
      <c r="H157" s="6" t="n">
        <v>4</v>
      </c>
      <c r="I157" s="6" t="n">
        <v>10</v>
      </c>
      <c r="J157" s="6" t="n">
        <v>0</v>
      </c>
      <c r="K157" s="7" t="n">
        <f aca="false">IF(E157+F157=0,"",E157/(E157+F157))</f>
        <v>0.96551724137931</v>
      </c>
      <c r="L157" s="13" t="str">
        <f aca="false">IF(E157+I157&gt;0,"Yes","No")</f>
        <v>Yes</v>
      </c>
      <c r="M157" s="14" t="s">
        <v>334</v>
      </c>
    </row>
    <row r="158" customFormat="false" ht="15" hidden="false" customHeight="false" outlineLevel="0" collapsed="false">
      <c r="A158" s="9" t="n">
        <v>267</v>
      </c>
      <c r="B158" s="9" t="s">
        <v>335</v>
      </c>
      <c r="C158" s="10" t="n">
        <v>26</v>
      </c>
      <c r="D158" s="10" t="n">
        <v>55</v>
      </c>
      <c r="E158" s="10" t="n">
        <v>81</v>
      </c>
      <c r="F158" s="10" t="n">
        <v>0</v>
      </c>
      <c r="G158" s="10" t="n">
        <v>4</v>
      </c>
      <c r="H158" s="10" t="n">
        <v>3</v>
      </c>
      <c r="I158" s="10" t="n">
        <v>7</v>
      </c>
      <c r="J158" s="10" t="n">
        <v>0</v>
      </c>
      <c r="K158" s="11" t="n">
        <f aca="false">IF(E158+F158=0,"",E158/(E158+F158))</f>
        <v>1</v>
      </c>
      <c r="L158" s="9" t="str">
        <f aca="false">IF(E158+I158&gt;0,"Yes","No")</f>
        <v>Yes</v>
      </c>
      <c r="M158" s="12" t="s">
        <v>336</v>
      </c>
    </row>
    <row r="159" customFormat="false" ht="15" hidden="false" customHeight="false" outlineLevel="0" collapsed="false">
      <c r="A159" s="13" t="n">
        <v>69</v>
      </c>
      <c r="B159" s="13" t="s">
        <v>337</v>
      </c>
      <c r="C159" s="6" t="n">
        <v>26</v>
      </c>
      <c r="D159" s="6" t="n">
        <v>55</v>
      </c>
      <c r="E159" s="6" t="n">
        <v>81</v>
      </c>
      <c r="F159" s="6" t="n">
        <v>0</v>
      </c>
      <c r="G159" s="6" t="n">
        <v>1</v>
      </c>
      <c r="H159" s="6" t="n">
        <v>4</v>
      </c>
      <c r="I159" s="6" t="n">
        <v>5</v>
      </c>
      <c r="J159" s="6" t="n">
        <v>0</v>
      </c>
      <c r="K159" s="7" t="n">
        <f aca="false">IF(E159+F159=0,"",E159/(E159+F159))</f>
        <v>1</v>
      </c>
      <c r="L159" s="13" t="str">
        <f aca="false">IF(E159+I159&gt;0,"Yes","No")</f>
        <v>Yes</v>
      </c>
      <c r="M159" s="14" t="s">
        <v>338</v>
      </c>
    </row>
    <row r="160" customFormat="false" ht="15" hidden="false" customHeight="false" outlineLevel="0" collapsed="false">
      <c r="A160" s="9" t="n">
        <v>126</v>
      </c>
      <c r="B160" s="9" t="s">
        <v>339</v>
      </c>
      <c r="C160" s="10" t="n">
        <v>67</v>
      </c>
      <c r="D160" s="10" t="n">
        <v>12</v>
      </c>
      <c r="E160" s="10" t="n">
        <v>79</v>
      </c>
      <c r="F160" s="10" t="n">
        <v>0</v>
      </c>
      <c r="G160" s="10" t="n">
        <v>22</v>
      </c>
      <c r="H160" s="10" t="n">
        <v>2</v>
      </c>
      <c r="I160" s="10" t="n">
        <v>24</v>
      </c>
      <c r="J160" s="10" t="n">
        <v>0</v>
      </c>
      <c r="K160" s="11" t="n">
        <f aca="false">IF(E160+F160=0,"",E160/(E160+F160))</f>
        <v>1</v>
      </c>
      <c r="L160" s="9" t="str">
        <f aca="false">IF(E160+I160&gt;0,"Yes","No")</f>
        <v>Yes</v>
      </c>
      <c r="M160" s="12" t="s">
        <v>340</v>
      </c>
    </row>
    <row r="161" customFormat="false" ht="15" hidden="false" customHeight="false" outlineLevel="0" collapsed="false">
      <c r="A161" s="13" t="n">
        <v>289</v>
      </c>
      <c r="B161" s="13" t="s">
        <v>341</v>
      </c>
      <c r="C161" s="6" t="n">
        <v>53</v>
      </c>
      <c r="D161" s="6" t="n">
        <v>26</v>
      </c>
      <c r="E161" s="6" t="n">
        <v>79</v>
      </c>
      <c r="F161" s="6" t="n">
        <v>3</v>
      </c>
      <c r="G161" s="6" t="n">
        <v>7</v>
      </c>
      <c r="H161" s="6" t="n">
        <v>5</v>
      </c>
      <c r="I161" s="6" t="n">
        <v>12</v>
      </c>
      <c r="J161" s="6" t="n">
        <v>2</v>
      </c>
      <c r="K161" s="7" t="n">
        <f aca="false">IF(E161+F161=0,"",E161/(E161+F161))</f>
        <v>0.963414634146341</v>
      </c>
      <c r="L161" s="13" t="str">
        <f aca="false">IF(E161+I161&gt;0,"Yes","No")</f>
        <v>Yes</v>
      </c>
      <c r="M161" s="14" t="s">
        <v>342</v>
      </c>
    </row>
    <row r="162" customFormat="false" ht="15" hidden="false" customHeight="false" outlineLevel="0" collapsed="false">
      <c r="A162" s="9" t="n">
        <v>406</v>
      </c>
      <c r="B162" s="9" t="s">
        <v>343</v>
      </c>
      <c r="C162" s="10" t="n">
        <v>52</v>
      </c>
      <c r="D162" s="10" t="n">
        <v>24</v>
      </c>
      <c r="E162" s="10" t="n">
        <v>76</v>
      </c>
      <c r="F162" s="10" t="n">
        <v>1</v>
      </c>
      <c r="G162" s="10" t="n">
        <v>16</v>
      </c>
      <c r="H162" s="10" t="n">
        <v>8</v>
      </c>
      <c r="I162" s="10" t="n">
        <v>24</v>
      </c>
      <c r="J162" s="10" t="n">
        <v>0</v>
      </c>
      <c r="K162" s="11" t="n">
        <f aca="false">IF(E162+F162=0,"",E162/(E162+F162))</f>
        <v>0.987012987012987</v>
      </c>
      <c r="L162" s="9" t="str">
        <f aca="false">IF(E162+I162&gt;0,"Yes","No")</f>
        <v>Yes</v>
      </c>
      <c r="M162" s="12" t="s">
        <v>344</v>
      </c>
    </row>
    <row r="163" customFormat="false" ht="15" hidden="false" customHeight="false" outlineLevel="0" collapsed="false">
      <c r="A163" s="13" t="n">
        <v>117</v>
      </c>
      <c r="B163" s="13" t="s">
        <v>345</v>
      </c>
      <c r="C163" s="6" t="n">
        <v>35</v>
      </c>
      <c r="D163" s="6" t="n">
        <v>41</v>
      </c>
      <c r="E163" s="6" t="n">
        <v>76</v>
      </c>
      <c r="F163" s="6" t="n">
        <v>1</v>
      </c>
      <c r="G163" s="6" t="n">
        <v>2</v>
      </c>
      <c r="H163" s="6" t="n">
        <v>4</v>
      </c>
      <c r="I163" s="6" t="n">
        <v>6</v>
      </c>
      <c r="J163" s="6" t="n">
        <v>0</v>
      </c>
      <c r="K163" s="7" t="n">
        <f aca="false">IF(E163+F163=0,"",E163/(E163+F163))</f>
        <v>0.987012987012987</v>
      </c>
      <c r="L163" s="13" t="str">
        <f aca="false">IF(E163+I163&gt;0,"Yes","No")</f>
        <v>Yes</v>
      </c>
      <c r="M163" s="14" t="s">
        <v>346</v>
      </c>
    </row>
    <row r="164" customFormat="false" ht="15" hidden="false" customHeight="false" outlineLevel="0" collapsed="false">
      <c r="A164" s="9" t="n">
        <v>186</v>
      </c>
      <c r="B164" s="9" t="s">
        <v>347</v>
      </c>
      <c r="C164" s="10" t="n">
        <v>33</v>
      </c>
      <c r="D164" s="10" t="n">
        <v>42</v>
      </c>
      <c r="E164" s="10" t="n">
        <v>75</v>
      </c>
      <c r="F164" s="10" t="n">
        <v>0</v>
      </c>
      <c r="G164" s="10" t="n">
        <v>12</v>
      </c>
      <c r="H164" s="10" t="n">
        <v>12</v>
      </c>
      <c r="I164" s="10" t="n">
        <v>24</v>
      </c>
      <c r="J164" s="10" t="n">
        <v>0</v>
      </c>
      <c r="K164" s="11" t="n">
        <f aca="false">IF(E164+F164=0,"",E164/(E164+F164))</f>
        <v>1</v>
      </c>
      <c r="L164" s="9" t="str">
        <f aca="false">IF(E164+I164&gt;0,"Yes","No")</f>
        <v>Yes</v>
      </c>
      <c r="M164" s="12" t="s">
        <v>348</v>
      </c>
    </row>
    <row r="165" customFormat="false" ht="15" hidden="false" customHeight="false" outlineLevel="0" collapsed="false">
      <c r="A165" s="13" t="n">
        <v>183</v>
      </c>
      <c r="B165" s="13" t="s">
        <v>349</v>
      </c>
      <c r="C165" s="6" t="n">
        <v>27</v>
      </c>
      <c r="D165" s="6" t="n">
        <v>44</v>
      </c>
      <c r="E165" s="6" t="n">
        <v>71</v>
      </c>
      <c r="F165" s="6" t="n">
        <v>0</v>
      </c>
      <c r="G165" s="6" t="n">
        <v>2</v>
      </c>
      <c r="H165" s="6" t="n">
        <v>11</v>
      </c>
      <c r="I165" s="6" t="n">
        <v>13</v>
      </c>
      <c r="J165" s="6" t="n">
        <v>0</v>
      </c>
      <c r="K165" s="7" t="n">
        <f aca="false">IF(E165+F165=0,"",E165/(E165+F165))</f>
        <v>1</v>
      </c>
      <c r="L165" s="13" t="str">
        <f aca="false">IF(E165+I165&gt;0,"Yes","No")</f>
        <v>Yes</v>
      </c>
      <c r="M165" s="14" t="s">
        <v>350</v>
      </c>
    </row>
    <row r="166" customFormat="false" ht="15" hidden="false" customHeight="false" outlineLevel="0" collapsed="false">
      <c r="A166" s="9" t="n">
        <v>192</v>
      </c>
      <c r="B166" s="9" t="s">
        <v>351</v>
      </c>
      <c r="C166" s="10" t="n">
        <v>8</v>
      </c>
      <c r="D166" s="10" t="n">
        <v>62</v>
      </c>
      <c r="E166" s="10" t="n">
        <v>70</v>
      </c>
      <c r="F166" s="10" t="n">
        <v>0</v>
      </c>
      <c r="G166" s="10" t="n">
        <v>0</v>
      </c>
      <c r="H166" s="10" t="n">
        <v>16</v>
      </c>
      <c r="I166" s="10" t="n">
        <v>16</v>
      </c>
      <c r="J166" s="10" t="n">
        <v>2</v>
      </c>
      <c r="K166" s="11" t="n">
        <f aca="false">IF(E166+F166=0,"",E166/(E166+F166))</f>
        <v>1</v>
      </c>
      <c r="L166" s="9" t="str">
        <f aca="false">IF(E166+I166&gt;0,"Yes","No")</f>
        <v>Yes</v>
      </c>
      <c r="M166" s="12" t="s">
        <v>352</v>
      </c>
    </row>
    <row r="167" customFormat="false" ht="15" hidden="false" customHeight="false" outlineLevel="0" collapsed="false">
      <c r="A167" s="13" t="n">
        <v>86</v>
      </c>
      <c r="B167" s="13" t="s">
        <v>353</v>
      </c>
      <c r="C167" s="6" t="n">
        <v>44</v>
      </c>
      <c r="D167" s="6" t="n">
        <v>25</v>
      </c>
      <c r="E167" s="6" t="n">
        <v>69</v>
      </c>
      <c r="F167" s="6" t="n">
        <v>1</v>
      </c>
      <c r="G167" s="6" t="n">
        <v>5</v>
      </c>
      <c r="H167" s="6" t="n">
        <v>6</v>
      </c>
      <c r="I167" s="6" t="n">
        <v>11</v>
      </c>
      <c r="J167" s="6" t="n">
        <v>0</v>
      </c>
      <c r="K167" s="7" t="n">
        <f aca="false">IF(E167+F167=0,"",E167/(E167+F167))</f>
        <v>0.985714285714286</v>
      </c>
      <c r="L167" s="13" t="str">
        <f aca="false">IF(E167+I167&gt;0,"Yes","No")</f>
        <v>Yes</v>
      </c>
      <c r="M167" s="14" t="s">
        <v>354</v>
      </c>
    </row>
    <row r="168" customFormat="false" ht="15" hidden="false" customHeight="false" outlineLevel="0" collapsed="false">
      <c r="A168" s="9" t="n">
        <v>278</v>
      </c>
      <c r="B168" s="9" t="s">
        <v>355</v>
      </c>
      <c r="C168" s="10" t="n">
        <v>26</v>
      </c>
      <c r="D168" s="10" t="n">
        <v>43</v>
      </c>
      <c r="E168" s="10" t="n">
        <v>69</v>
      </c>
      <c r="F168" s="10" t="n">
        <v>0</v>
      </c>
      <c r="G168" s="10" t="n">
        <v>3</v>
      </c>
      <c r="H168" s="10" t="n">
        <v>3</v>
      </c>
      <c r="I168" s="10" t="n">
        <v>6</v>
      </c>
      <c r="J168" s="10" t="n">
        <v>0</v>
      </c>
      <c r="K168" s="11" t="n">
        <f aca="false">IF(E168+F168=0,"",E168/(E168+F168))</f>
        <v>1</v>
      </c>
      <c r="L168" s="9" t="str">
        <f aca="false">IF(E168+I168&gt;0,"Yes","No")</f>
        <v>Yes</v>
      </c>
      <c r="M168" s="12" t="s">
        <v>356</v>
      </c>
    </row>
    <row r="169" customFormat="false" ht="15" hidden="false" customHeight="false" outlineLevel="0" collapsed="false">
      <c r="A169" s="13" t="n">
        <v>150</v>
      </c>
      <c r="B169" s="13" t="s">
        <v>357</v>
      </c>
      <c r="C169" s="6" t="n">
        <v>9</v>
      </c>
      <c r="D169" s="6" t="n">
        <v>59</v>
      </c>
      <c r="E169" s="6" t="n">
        <v>68</v>
      </c>
      <c r="F169" s="6" t="n">
        <v>0</v>
      </c>
      <c r="G169" s="6" t="n">
        <v>3</v>
      </c>
      <c r="H169" s="6" t="n">
        <v>8</v>
      </c>
      <c r="I169" s="6" t="n">
        <v>11</v>
      </c>
      <c r="J169" s="6" t="n">
        <v>0</v>
      </c>
      <c r="K169" s="7" t="n">
        <f aca="false">IF(E169+F169=0,"",E169/(E169+F169))</f>
        <v>1</v>
      </c>
      <c r="L169" s="13" t="str">
        <f aca="false">IF(E169+I169&gt;0,"Yes","No")</f>
        <v>Yes</v>
      </c>
      <c r="M169" s="14" t="s">
        <v>358</v>
      </c>
    </row>
    <row r="170" customFormat="false" ht="15" hidden="false" customHeight="false" outlineLevel="0" collapsed="false">
      <c r="A170" s="9" t="n">
        <v>217</v>
      </c>
      <c r="B170" s="9" t="s">
        <v>359</v>
      </c>
      <c r="C170" s="10" t="n">
        <v>36</v>
      </c>
      <c r="D170" s="10" t="n">
        <v>31</v>
      </c>
      <c r="E170" s="10" t="n">
        <v>67</v>
      </c>
      <c r="F170" s="10" t="n">
        <v>0</v>
      </c>
      <c r="G170" s="10" t="n">
        <v>5</v>
      </c>
      <c r="H170" s="10" t="n">
        <v>11</v>
      </c>
      <c r="I170" s="10" t="n">
        <v>16</v>
      </c>
      <c r="J170" s="10" t="n">
        <v>0</v>
      </c>
      <c r="K170" s="11" t="n">
        <f aca="false">IF(E170+F170=0,"",E170/(E170+F170))</f>
        <v>1</v>
      </c>
      <c r="L170" s="9" t="str">
        <f aca="false">IF(E170+I170&gt;0,"Yes","No")</f>
        <v>Yes</v>
      </c>
      <c r="M170" s="12" t="s">
        <v>360</v>
      </c>
    </row>
    <row r="171" customFormat="false" ht="15" hidden="false" customHeight="false" outlineLevel="0" collapsed="false">
      <c r="A171" s="13" t="n">
        <v>450</v>
      </c>
      <c r="B171" s="13" t="s">
        <v>361</v>
      </c>
      <c r="C171" s="6" t="n">
        <v>43</v>
      </c>
      <c r="D171" s="6" t="n">
        <v>24</v>
      </c>
      <c r="E171" s="6" t="n">
        <v>67</v>
      </c>
      <c r="F171" s="6" t="n">
        <v>0</v>
      </c>
      <c r="G171" s="6" t="n">
        <v>2</v>
      </c>
      <c r="H171" s="6" t="n">
        <v>10</v>
      </c>
      <c r="I171" s="6" t="n">
        <v>12</v>
      </c>
      <c r="J171" s="6" t="n">
        <v>0</v>
      </c>
      <c r="K171" s="7" t="n">
        <f aca="false">IF(E171+F171=0,"",E171/(E171+F171))</f>
        <v>1</v>
      </c>
      <c r="L171" s="13" t="str">
        <f aca="false">IF(E171+I171&gt;0,"Yes","No")</f>
        <v>Yes</v>
      </c>
      <c r="M171" s="14" t="s">
        <v>362</v>
      </c>
    </row>
    <row r="172" customFormat="false" ht="15" hidden="false" customHeight="false" outlineLevel="0" collapsed="false">
      <c r="A172" s="9" t="n">
        <v>331</v>
      </c>
      <c r="B172" s="9" t="s">
        <v>363</v>
      </c>
      <c r="C172" s="10" t="n">
        <v>32</v>
      </c>
      <c r="D172" s="10" t="n">
        <v>34</v>
      </c>
      <c r="E172" s="10" t="n">
        <v>66</v>
      </c>
      <c r="F172" s="10" t="n">
        <v>1</v>
      </c>
      <c r="G172" s="10" t="n">
        <v>11</v>
      </c>
      <c r="H172" s="10" t="n">
        <v>14</v>
      </c>
      <c r="I172" s="10" t="n">
        <v>25</v>
      </c>
      <c r="J172" s="10" t="n">
        <v>0</v>
      </c>
      <c r="K172" s="11" t="n">
        <f aca="false">IF(E172+F172=0,"",E172/(E172+F172))</f>
        <v>0.985074626865672</v>
      </c>
      <c r="L172" s="9" t="str">
        <f aca="false">IF(E172+I172&gt;0,"Yes","No")</f>
        <v>Yes</v>
      </c>
      <c r="M172" s="12" t="s">
        <v>364</v>
      </c>
    </row>
    <row r="173" customFormat="false" ht="15" hidden="false" customHeight="false" outlineLevel="0" collapsed="false">
      <c r="A173" s="13" t="n">
        <v>50</v>
      </c>
      <c r="B173" s="13" t="s">
        <v>365</v>
      </c>
      <c r="C173" s="6" t="n">
        <v>9</v>
      </c>
      <c r="D173" s="6" t="n">
        <v>57</v>
      </c>
      <c r="E173" s="6" t="n">
        <v>66</v>
      </c>
      <c r="F173" s="6" t="n">
        <v>0</v>
      </c>
      <c r="G173" s="6" t="n">
        <v>2</v>
      </c>
      <c r="H173" s="6" t="n">
        <v>7</v>
      </c>
      <c r="I173" s="6" t="n">
        <v>9</v>
      </c>
      <c r="J173" s="6" t="n">
        <v>0</v>
      </c>
      <c r="K173" s="7" t="n">
        <f aca="false">IF(E173+F173=0,"",E173/(E173+F173))</f>
        <v>1</v>
      </c>
      <c r="L173" s="13" t="str">
        <f aca="false">IF(E173+I173&gt;0,"Yes","No")</f>
        <v>Yes</v>
      </c>
      <c r="M173" s="14" t="s">
        <v>366</v>
      </c>
    </row>
    <row r="174" customFormat="false" ht="15" hidden="false" customHeight="false" outlineLevel="0" collapsed="false">
      <c r="A174" s="9" t="n">
        <v>163</v>
      </c>
      <c r="B174" s="9" t="s">
        <v>367</v>
      </c>
      <c r="C174" s="10" t="n">
        <v>40</v>
      </c>
      <c r="D174" s="10" t="n">
        <v>26</v>
      </c>
      <c r="E174" s="10" t="n">
        <v>66</v>
      </c>
      <c r="F174" s="10" t="n">
        <v>2</v>
      </c>
      <c r="G174" s="10" t="n">
        <v>2</v>
      </c>
      <c r="H174" s="10" t="n">
        <v>6</v>
      </c>
      <c r="I174" s="10" t="n">
        <v>8</v>
      </c>
      <c r="J174" s="10" t="n">
        <v>0</v>
      </c>
      <c r="K174" s="11" t="n">
        <f aca="false">IF(E174+F174=0,"",E174/(E174+F174))</f>
        <v>0.970588235294118</v>
      </c>
      <c r="L174" s="9" t="str">
        <f aca="false">IF(E174+I174&gt;0,"Yes","No")</f>
        <v>Yes</v>
      </c>
      <c r="M174" s="12" t="s">
        <v>368</v>
      </c>
    </row>
    <row r="175" customFormat="false" ht="15" hidden="false" customHeight="false" outlineLevel="0" collapsed="false">
      <c r="A175" s="13" t="n">
        <v>89</v>
      </c>
      <c r="B175" s="13" t="s">
        <v>369</v>
      </c>
      <c r="C175" s="6" t="n">
        <v>47</v>
      </c>
      <c r="D175" s="6" t="n">
        <v>18</v>
      </c>
      <c r="E175" s="6" t="n">
        <v>65</v>
      </c>
      <c r="F175" s="6" t="n">
        <v>0</v>
      </c>
      <c r="G175" s="6" t="n">
        <v>3</v>
      </c>
      <c r="H175" s="6" t="n">
        <v>8</v>
      </c>
      <c r="I175" s="6" t="n">
        <v>11</v>
      </c>
      <c r="J175" s="6" t="n">
        <v>0</v>
      </c>
      <c r="K175" s="7" t="n">
        <f aca="false">IF(E175+F175=0,"",E175/(E175+F175))</f>
        <v>1</v>
      </c>
      <c r="L175" s="13" t="str">
        <f aca="false">IF(E175+I175&gt;0,"Yes","No")</f>
        <v>Yes</v>
      </c>
      <c r="M175" s="14" t="s">
        <v>370</v>
      </c>
    </row>
    <row r="176" customFormat="false" ht="15" hidden="false" customHeight="false" outlineLevel="0" collapsed="false">
      <c r="A176" s="9" t="n">
        <v>147</v>
      </c>
      <c r="B176" s="9" t="s">
        <v>371</v>
      </c>
      <c r="C176" s="10" t="n">
        <v>35</v>
      </c>
      <c r="D176" s="10" t="n">
        <v>29</v>
      </c>
      <c r="E176" s="10" t="n">
        <v>64</v>
      </c>
      <c r="F176" s="10" t="n">
        <v>0</v>
      </c>
      <c r="G176" s="10" t="n">
        <v>11</v>
      </c>
      <c r="H176" s="10" t="n">
        <v>6</v>
      </c>
      <c r="I176" s="10" t="n">
        <v>17</v>
      </c>
      <c r="J176" s="10" t="n">
        <v>0</v>
      </c>
      <c r="K176" s="11" t="n">
        <f aca="false">IF(E176+F176=0,"",E176/(E176+F176))</f>
        <v>1</v>
      </c>
      <c r="L176" s="9" t="str">
        <f aca="false">IF(E176+I176&gt;0,"Yes","No")</f>
        <v>Yes</v>
      </c>
      <c r="M176" s="12" t="s">
        <v>372</v>
      </c>
    </row>
    <row r="177" customFormat="false" ht="15" hidden="false" customHeight="false" outlineLevel="0" collapsed="false">
      <c r="A177" s="13" t="n">
        <v>27</v>
      </c>
      <c r="B177" s="13" t="s">
        <v>373</v>
      </c>
      <c r="C177" s="6" t="n">
        <v>21</v>
      </c>
      <c r="D177" s="6" t="n">
        <v>43</v>
      </c>
      <c r="E177" s="6" t="n">
        <v>64</v>
      </c>
      <c r="F177" s="6" t="n">
        <v>0</v>
      </c>
      <c r="G177" s="6" t="n">
        <v>5</v>
      </c>
      <c r="H177" s="6" t="n">
        <v>7</v>
      </c>
      <c r="I177" s="6" t="n">
        <v>12</v>
      </c>
      <c r="J177" s="6" t="n">
        <v>0</v>
      </c>
      <c r="K177" s="7" t="n">
        <f aca="false">IF(E177+F177=0,"",E177/(E177+F177))</f>
        <v>1</v>
      </c>
      <c r="L177" s="13" t="str">
        <f aca="false">IF(E177+I177&gt;0,"Yes","No")</f>
        <v>Yes</v>
      </c>
      <c r="M177" s="14" t="s">
        <v>374</v>
      </c>
    </row>
    <row r="178" customFormat="false" ht="15" hidden="false" customHeight="false" outlineLevel="0" collapsed="false">
      <c r="A178" s="9" t="n">
        <v>194</v>
      </c>
      <c r="B178" s="9" t="s">
        <v>375</v>
      </c>
      <c r="C178" s="10" t="n">
        <v>19</v>
      </c>
      <c r="D178" s="10" t="n">
        <v>45</v>
      </c>
      <c r="E178" s="10" t="n">
        <v>64</v>
      </c>
      <c r="F178" s="10" t="n">
        <v>0</v>
      </c>
      <c r="G178" s="10" t="n">
        <v>0</v>
      </c>
      <c r="H178" s="10" t="n">
        <v>8</v>
      </c>
      <c r="I178" s="10" t="n">
        <v>8</v>
      </c>
      <c r="J178" s="10" t="n">
        <v>0</v>
      </c>
      <c r="K178" s="11" t="n">
        <f aca="false">IF(E178+F178=0,"",E178/(E178+F178))</f>
        <v>1</v>
      </c>
      <c r="L178" s="9" t="str">
        <f aca="false">IF(E178+I178&gt;0,"Yes","No")</f>
        <v>Yes</v>
      </c>
      <c r="M178" s="12" t="s">
        <v>376</v>
      </c>
    </row>
    <row r="179" customFormat="false" ht="15" hidden="false" customHeight="false" outlineLevel="0" collapsed="false">
      <c r="A179" s="13" t="n">
        <v>295</v>
      </c>
      <c r="B179" s="13" t="s">
        <v>377</v>
      </c>
      <c r="C179" s="6" t="n">
        <v>52</v>
      </c>
      <c r="D179" s="6" t="n">
        <v>11</v>
      </c>
      <c r="E179" s="6" t="n">
        <v>63</v>
      </c>
      <c r="F179" s="6" t="n">
        <v>1</v>
      </c>
      <c r="G179" s="6" t="n">
        <v>21</v>
      </c>
      <c r="H179" s="6" t="n">
        <v>0</v>
      </c>
      <c r="I179" s="6" t="n">
        <v>21</v>
      </c>
      <c r="J179" s="6" t="n">
        <v>0</v>
      </c>
      <c r="K179" s="7" t="n">
        <f aca="false">IF(E179+F179=0,"",E179/(E179+F179))</f>
        <v>0.984375</v>
      </c>
      <c r="L179" s="13" t="str">
        <f aca="false">IF(E179+I179&gt;0,"Yes","No")</f>
        <v>Yes</v>
      </c>
      <c r="M179" s="14" t="s">
        <v>378</v>
      </c>
    </row>
    <row r="180" customFormat="false" ht="15" hidden="false" customHeight="false" outlineLevel="0" collapsed="false">
      <c r="A180" s="9" t="n">
        <v>161</v>
      </c>
      <c r="B180" s="9" t="s">
        <v>379</v>
      </c>
      <c r="C180" s="10" t="n">
        <v>39</v>
      </c>
      <c r="D180" s="10" t="n">
        <v>24</v>
      </c>
      <c r="E180" s="10" t="n">
        <v>63</v>
      </c>
      <c r="F180" s="10" t="n">
        <v>0</v>
      </c>
      <c r="G180" s="10" t="n">
        <v>13</v>
      </c>
      <c r="H180" s="10" t="n">
        <v>5</v>
      </c>
      <c r="I180" s="10" t="n">
        <v>18</v>
      </c>
      <c r="J180" s="10" t="n">
        <v>0</v>
      </c>
      <c r="K180" s="11" t="n">
        <f aca="false">IF(E180+F180=0,"",E180/(E180+F180))</f>
        <v>1</v>
      </c>
      <c r="L180" s="9" t="str">
        <f aca="false">IF(E180+I180&gt;0,"Yes","No")</f>
        <v>Yes</v>
      </c>
      <c r="M180" s="12" t="s">
        <v>380</v>
      </c>
    </row>
    <row r="181" customFormat="false" ht="15" hidden="false" customHeight="false" outlineLevel="0" collapsed="false">
      <c r="A181" s="13" t="n">
        <v>309</v>
      </c>
      <c r="B181" s="13" t="s">
        <v>381</v>
      </c>
      <c r="C181" s="6" t="n">
        <v>29</v>
      </c>
      <c r="D181" s="6" t="n">
        <v>34</v>
      </c>
      <c r="E181" s="6" t="n">
        <v>63</v>
      </c>
      <c r="F181" s="6" t="n">
        <v>0</v>
      </c>
      <c r="G181" s="6" t="n">
        <v>1</v>
      </c>
      <c r="H181" s="6" t="n">
        <v>7</v>
      </c>
      <c r="I181" s="6" t="n">
        <v>8</v>
      </c>
      <c r="J181" s="6" t="n">
        <v>0</v>
      </c>
      <c r="K181" s="7" t="n">
        <f aca="false">IF(E181+F181=0,"",E181/(E181+F181))</f>
        <v>1</v>
      </c>
      <c r="L181" s="13" t="str">
        <f aca="false">IF(E181+I181&gt;0,"Yes","No")</f>
        <v>Yes</v>
      </c>
      <c r="M181" s="14" t="s">
        <v>382</v>
      </c>
    </row>
    <row r="182" customFormat="false" ht="15" hidden="false" customHeight="false" outlineLevel="0" collapsed="false">
      <c r="A182" s="9" t="n">
        <v>144</v>
      </c>
      <c r="B182" s="9" t="s">
        <v>383</v>
      </c>
      <c r="C182" s="10" t="n">
        <v>17</v>
      </c>
      <c r="D182" s="10" t="n">
        <v>45</v>
      </c>
      <c r="E182" s="10" t="n">
        <v>62</v>
      </c>
      <c r="F182" s="10" t="n">
        <v>1</v>
      </c>
      <c r="G182" s="10" t="n">
        <v>6</v>
      </c>
      <c r="H182" s="10" t="n">
        <v>10</v>
      </c>
      <c r="I182" s="10" t="n">
        <v>16</v>
      </c>
      <c r="J182" s="10" t="n">
        <v>1</v>
      </c>
      <c r="K182" s="11" t="n">
        <f aca="false">IF(E182+F182=0,"",E182/(E182+F182))</f>
        <v>0.984126984126984</v>
      </c>
      <c r="L182" s="9" t="str">
        <f aca="false">IF(E182+I182&gt;0,"Yes","No")</f>
        <v>Yes</v>
      </c>
      <c r="M182" s="12" t="s">
        <v>384</v>
      </c>
    </row>
    <row r="183" customFormat="false" ht="15" hidden="false" customHeight="false" outlineLevel="0" collapsed="false">
      <c r="A183" s="13" t="n">
        <v>47</v>
      </c>
      <c r="B183" s="13" t="s">
        <v>385</v>
      </c>
      <c r="C183" s="6" t="n">
        <v>58</v>
      </c>
      <c r="D183" s="6" t="n">
        <v>3</v>
      </c>
      <c r="E183" s="6" t="n">
        <v>61</v>
      </c>
      <c r="F183" s="6" t="n">
        <v>0</v>
      </c>
      <c r="G183" s="6" t="n">
        <v>14</v>
      </c>
      <c r="H183" s="6" t="n">
        <v>1</v>
      </c>
      <c r="I183" s="6" t="n">
        <v>15</v>
      </c>
      <c r="J183" s="6" t="n">
        <v>0</v>
      </c>
      <c r="K183" s="7" t="n">
        <f aca="false">IF(E183+F183=0,"",E183/(E183+F183))</f>
        <v>1</v>
      </c>
      <c r="L183" s="13" t="str">
        <f aca="false">IF(E183+I183&gt;0,"Yes","No")</f>
        <v>Yes</v>
      </c>
      <c r="M183" s="14" t="s">
        <v>386</v>
      </c>
    </row>
    <row r="184" customFormat="false" ht="15" hidden="false" customHeight="false" outlineLevel="0" collapsed="false">
      <c r="A184" s="9" t="n">
        <v>45</v>
      </c>
      <c r="B184" s="9" t="s">
        <v>387</v>
      </c>
      <c r="C184" s="10" t="n">
        <v>29</v>
      </c>
      <c r="D184" s="10" t="n">
        <v>32</v>
      </c>
      <c r="E184" s="10" t="n">
        <v>61</v>
      </c>
      <c r="F184" s="10" t="n">
        <v>0</v>
      </c>
      <c r="G184" s="10" t="n">
        <v>0</v>
      </c>
      <c r="H184" s="10" t="n">
        <v>3</v>
      </c>
      <c r="I184" s="10" t="n">
        <v>3</v>
      </c>
      <c r="J184" s="10" t="n">
        <v>0</v>
      </c>
      <c r="K184" s="11" t="n">
        <f aca="false">IF(E184+F184=0,"",E184/(E184+F184))</f>
        <v>1</v>
      </c>
      <c r="L184" s="9" t="str">
        <f aca="false">IF(E184+I184&gt;0,"Yes","No")</f>
        <v>Yes</v>
      </c>
      <c r="M184" s="12" t="s">
        <v>388</v>
      </c>
    </row>
    <row r="185" customFormat="false" ht="15" hidden="false" customHeight="false" outlineLevel="0" collapsed="false">
      <c r="A185" s="13" t="n">
        <v>370</v>
      </c>
      <c r="B185" s="13" t="s">
        <v>389</v>
      </c>
      <c r="C185" s="6" t="n">
        <v>36</v>
      </c>
      <c r="D185" s="6" t="n">
        <v>22</v>
      </c>
      <c r="E185" s="6" t="n">
        <v>58</v>
      </c>
      <c r="F185" s="6" t="n">
        <v>0</v>
      </c>
      <c r="G185" s="6" t="n">
        <v>0</v>
      </c>
      <c r="H185" s="6" t="n">
        <v>12</v>
      </c>
      <c r="I185" s="6" t="n">
        <v>12</v>
      </c>
      <c r="J185" s="6" t="n">
        <v>1</v>
      </c>
      <c r="K185" s="7" t="n">
        <f aca="false">IF(E185+F185=0,"",E185/(E185+F185))</f>
        <v>1</v>
      </c>
      <c r="L185" s="13" t="str">
        <f aca="false">IF(E185+I185&gt;0,"Yes","No")</f>
        <v>Yes</v>
      </c>
      <c r="M185" s="14" t="s">
        <v>390</v>
      </c>
    </row>
    <row r="186" customFormat="false" ht="15" hidden="false" customHeight="false" outlineLevel="0" collapsed="false">
      <c r="A186" s="9" t="n">
        <v>270</v>
      </c>
      <c r="B186" s="9" t="s">
        <v>391</v>
      </c>
      <c r="C186" s="10" t="n">
        <v>31</v>
      </c>
      <c r="D186" s="10" t="n">
        <v>24</v>
      </c>
      <c r="E186" s="10" t="n">
        <v>55</v>
      </c>
      <c r="F186" s="10" t="n">
        <v>0</v>
      </c>
      <c r="G186" s="10" t="n">
        <v>9</v>
      </c>
      <c r="H186" s="10" t="n">
        <v>2</v>
      </c>
      <c r="I186" s="10" t="n">
        <v>11</v>
      </c>
      <c r="J186" s="10" t="n">
        <v>0</v>
      </c>
      <c r="K186" s="11" t="n">
        <f aca="false">IF(E186+F186=0,"",E186/(E186+F186))</f>
        <v>1</v>
      </c>
      <c r="L186" s="9" t="str">
        <f aca="false">IF(E186+I186&gt;0,"Yes","No")</f>
        <v>Yes</v>
      </c>
      <c r="M186" s="12" t="s">
        <v>392</v>
      </c>
    </row>
    <row r="187" customFormat="false" ht="15" hidden="false" customHeight="false" outlineLevel="0" collapsed="false">
      <c r="A187" s="13" t="n">
        <v>319</v>
      </c>
      <c r="B187" s="13" t="s">
        <v>393</v>
      </c>
      <c r="C187" s="6" t="n">
        <v>39</v>
      </c>
      <c r="D187" s="6" t="n">
        <v>14</v>
      </c>
      <c r="E187" s="6" t="n">
        <v>53</v>
      </c>
      <c r="F187" s="6" t="n">
        <v>0</v>
      </c>
      <c r="G187" s="6" t="n">
        <v>9</v>
      </c>
      <c r="H187" s="6" t="n">
        <v>2</v>
      </c>
      <c r="I187" s="6" t="n">
        <v>11</v>
      </c>
      <c r="J187" s="6" t="n">
        <v>1</v>
      </c>
      <c r="K187" s="7" t="n">
        <f aca="false">IF(E187+F187=0,"",E187/(E187+F187))</f>
        <v>1</v>
      </c>
      <c r="L187" s="13" t="str">
        <f aca="false">IF(E187+I187&gt;0,"Yes","No")</f>
        <v>Yes</v>
      </c>
      <c r="M187" s="14" t="s">
        <v>394</v>
      </c>
    </row>
    <row r="188" customFormat="false" ht="15" hidden="false" customHeight="false" outlineLevel="0" collapsed="false">
      <c r="A188" s="9" t="n">
        <v>438</v>
      </c>
      <c r="B188" s="9" t="s">
        <v>395</v>
      </c>
      <c r="C188" s="10" t="n">
        <v>34</v>
      </c>
      <c r="D188" s="10" t="n">
        <v>18</v>
      </c>
      <c r="E188" s="10" t="n">
        <v>52</v>
      </c>
      <c r="F188" s="10" t="n">
        <v>2</v>
      </c>
      <c r="G188" s="10" t="n">
        <v>2</v>
      </c>
      <c r="H188" s="10" t="n">
        <v>3</v>
      </c>
      <c r="I188" s="10" t="n">
        <v>5</v>
      </c>
      <c r="J188" s="10" t="n">
        <v>0</v>
      </c>
      <c r="K188" s="11" t="n">
        <f aca="false">IF(E188+F188=0,"",E188/(E188+F188))</f>
        <v>0.962962962962963</v>
      </c>
      <c r="L188" s="9" t="str">
        <f aca="false">IF(E188+I188&gt;0,"Yes","No")</f>
        <v>Yes</v>
      </c>
      <c r="M188" s="12" t="s">
        <v>396</v>
      </c>
    </row>
    <row r="189" customFormat="false" ht="15" hidden="false" customHeight="false" outlineLevel="0" collapsed="false">
      <c r="A189" s="13" t="n">
        <v>237</v>
      </c>
      <c r="B189" s="13" t="s">
        <v>397</v>
      </c>
      <c r="C189" s="6" t="n">
        <v>32</v>
      </c>
      <c r="D189" s="6" t="n">
        <v>19</v>
      </c>
      <c r="E189" s="6" t="n">
        <v>51</v>
      </c>
      <c r="F189" s="6" t="n">
        <v>2</v>
      </c>
      <c r="G189" s="6" t="n">
        <v>3</v>
      </c>
      <c r="H189" s="6" t="n">
        <v>1</v>
      </c>
      <c r="I189" s="6" t="n">
        <v>4</v>
      </c>
      <c r="J189" s="6" t="n">
        <v>0</v>
      </c>
      <c r="K189" s="7" t="n">
        <f aca="false">IF(E189+F189=0,"",E189/(E189+F189))</f>
        <v>0.962264150943396</v>
      </c>
      <c r="L189" s="13" t="str">
        <f aca="false">IF(E189+I189&gt;0,"Yes","No")</f>
        <v>Yes</v>
      </c>
      <c r="M189" s="14" t="s">
        <v>398</v>
      </c>
    </row>
    <row r="190" customFormat="false" ht="15" hidden="false" customHeight="false" outlineLevel="0" collapsed="false">
      <c r="A190" s="9" t="n">
        <v>323</v>
      </c>
      <c r="B190" s="9" t="s">
        <v>399</v>
      </c>
      <c r="C190" s="10" t="n">
        <v>22</v>
      </c>
      <c r="D190" s="10" t="n">
        <v>26</v>
      </c>
      <c r="E190" s="10" t="n">
        <v>48</v>
      </c>
      <c r="F190" s="10" t="n">
        <v>0</v>
      </c>
      <c r="G190" s="10" t="n">
        <v>6</v>
      </c>
      <c r="H190" s="10" t="n">
        <v>3</v>
      </c>
      <c r="I190" s="10" t="n">
        <v>9</v>
      </c>
      <c r="J190" s="10" t="n">
        <v>0</v>
      </c>
      <c r="K190" s="11" t="n">
        <f aca="false">IF(E190+F190=0,"",E190/(E190+F190))</f>
        <v>1</v>
      </c>
      <c r="L190" s="9" t="str">
        <f aca="false">IF(E190+I190&gt;0,"Yes","No")</f>
        <v>Yes</v>
      </c>
      <c r="M190" s="12" t="s">
        <v>400</v>
      </c>
    </row>
    <row r="191" customFormat="false" ht="15" hidden="false" customHeight="false" outlineLevel="0" collapsed="false">
      <c r="A191" s="13" t="n">
        <v>236</v>
      </c>
      <c r="B191" s="13" t="s">
        <v>401</v>
      </c>
      <c r="C191" s="6" t="n">
        <v>10</v>
      </c>
      <c r="D191" s="6" t="n">
        <v>38</v>
      </c>
      <c r="E191" s="6" t="n">
        <v>48</v>
      </c>
      <c r="F191" s="6" t="n">
        <v>0</v>
      </c>
      <c r="G191" s="6" t="n">
        <v>0</v>
      </c>
      <c r="H191" s="6" t="n">
        <v>3</v>
      </c>
      <c r="I191" s="6" t="n">
        <v>3</v>
      </c>
      <c r="J191" s="6" t="n">
        <v>0</v>
      </c>
      <c r="K191" s="7" t="n">
        <f aca="false">IF(E191+F191=0,"",E191/(E191+F191))</f>
        <v>1</v>
      </c>
      <c r="L191" s="13" t="str">
        <f aca="false">IF(E191+I191&gt;0,"Yes","No")</f>
        <v>Yes</v>
      </c>
      <c r="M191" s="14" t="s">
        <v>402</v>
      </c>
    </row>
    <row r="192" customFormat="false" ht="15" hidden="false" customHeight="false" outlineLevel="0" collapsed="false">
      <c r="A192" s="9" t="n">
        <v>164</v>
      </c>
      <c r="B192" s="9" t="s">
        <v>403</v>
      </c>
      <c r="C192" s="10" t="n">
        <v>14</v>
      </c>
      <c r="D192" s="10" t="n">
        <v>33</v>
      </c>
      <c r="E192" s="10" t="n">
        <v>47</v>
      </c>
      <c r="F192" s="10" t="n">
        <v>0</v>
      </c>
      <c r="G192" s="10" t="n">
        <v>4</v>
      </c>
      <c r="H192" s="10" t="n">
        <v>8</v>
      </c>
      <c r="I192" s="10" t="n">
        <v>12</v>
      </c>
      <c r="J192" s="10" t="n">
        <v>1</v>
      </c>
      <c r="K192" s="11" t="n">
        <f aca="false">IF(E192+F192=0,"",E192/(E192+F192))</f>
        <v>1</v>
      </c>
      <c r="L192" s="9" t="str">
        <f aca="false">IF(E192+I192&gt;0,"Yes","No")</f>
        <v>Yes</v>
      </c>
      <c r="M192" s="12" t="s">
        <v>404</v>
      </c>
    </row>
    <row r="193" customFormat="false" ht="15" hidden="false" customHeight="false" outlineLevel="0" collapsed="false">
      <c r="A193" s="13" t="n">
        <v>96</v>
      </c>
      <c r="B193" s="13" t="s">
        <v>405</v>
      </c>
      <c r="C193" s="6" t="n">
        <v>28</v>
      </c>
      <c r="D193" s="6" t="n">
        <v>19</v>
      </c>
      <c r="E193" s="6" t="n">
        <v>47</v>
      </c>
      <c r="F193" s="6" t="n">
        <v>0</v>
      </c>
      <c r="G193" s="6" t="n">
        <v>2</v>
      </c>
      <c r="H193" s="6" t="n">
        <v>3</v>
      </c>
      <c r="I193" s="6" t="n">
        <v>5</v>
      </c>
      <c r="J193" s="6" t="n">
        <v>0</v>
      </c>
      <c r="K193" s="7" t="n">
        <f aca="false">IF(E193+F193=0,"",E193/(E193+F193))</f>
        <v>1</v>
      </c>
      <c r="L193" s="13" t="str">
        <f aca="false">IF(E193+I193&gt;0,"Yes","No")</f>
        <v>Yes</v>
      </c>
      <c r="M193" s="14" t="s">
        <v>406</v>
      </c>
    </row>
    <row r="194" customFormat="false" ht="15" hidden="false" customHeight="false" outlineLevel="0" collapsed="false">
      <c r="A194" s="9" t="n">
        <v>10</v>
      </c>
      <c r="B194" s="9" t="s">
        <v>407</v>
      </c>
      <c r="C194" s="10" t="n">
        <v>9</v>
      </c>
      <c r="D194" s="10" t="n">
        <v>38</v>
      </c>
      <c r="E194" s="10" t="n">
        <v>47</v>
      </c>
      <c r="F194" s="10" t="n">
        <v>0</v>
      </c>
      <c r="G194" s="10" t="n">
        <v>0</v>
      </c>
      <c r="H194" s="10" t="n">
        <v>4</v>
      </c>
      <c r="I194" s="10" t="n">
        <v>4</v>
      </c>
      <c r="J194" s="10" t="n">
        <v>0</v>
      </c>
      <c r="K194" s="11" t="n">
        <f aca="false">IF(E194+F194=0,"",E194/(E194+F194))</f>
        <v>1</v>
      </c>
      <c r="L194" s="9" t="str">
        <f aca="false">IF(E194+I194&gt;0,"Yes","No")</f>
        <v>Yes</v>
      </c>
      <c r="M194" s="12" t="s">
        <v>408</v>
      </c>
    </row>
    <row r="195" customFormat="false" ht="15" hidden="false" customHeight="false" outlineLevel="0" collapsed="false">
      <c r="A195" s="13" t="n">
        <v>322</v>
      </c>
      <c r="B195" s="13" t="s">
        <v>409</v>
      </c>
      <c r="C195" s="6" t="n">
        <v>26</v>
      </c>
      <c r="D195" s="6" t="n">
        <v>20</v>
      </c>
      <c r="E195" s="6" t="n">
        <v>46</v>
      </c>
      <c r="F195" s="6" t="n">
        <v>1</v>
      </c>
      <c r="G195" s="6" t="n">
        <v>5</v>
      </c>
      <c r="H195" s="6" t="n">
        <v>6</v>
      </c>
      <c r="I195" s="6" t="n">
        <v>11</v>
      </c>
      <c r="J195" s="6" t="n">
        <v>0</v>
      </c>
      <c r="K195" s="7" t="n">
        <f aca="false">IF(E195+F195=0,"",E195/(E195+F195))</f>
        <v>0.978723404255319</v>
      </c>
      <c r="L195" s="13" t="str">
        <f aca="false">IF(E195+I195&gt;0,"Yes","No")</f>
        <v>Yes</v>
      </c>
      <c r="M195" s="14" t="s">
        <v>410</v>
      </c>
    </row>
    <row r="196" customFormat="false" ht="15" hidden="false" customHeight="false" outlineLevel="0" collapsed="false">
      <c r="A196" s="9" t="n">
        <v>365</v>
      </c>
      <c r="B196" s="9" t="s">
        <v>411</v>
      </c>
      <c r="C196" s="10" t="n">
        <v>11</v>
      </c>
      <c r="D196" s="10" t="n">
        <v>35</v>
      </c>
      <c r="E196" s="10" t="n">
        <v>46</v>
      </c>
      <c r="F196" s="10" t="n">
        <v>0</v>
      </c>
      <c r="G196" s="10" t="n">
        <v>4</v>
      </c>
      <c r="H196" s="10" t="n">
        <v>4</v>
      </c>
      <c r="I196" s="10" t="n">
        <v>8</v>
      </c>
      <c r="J196" s="10" t="n">
        <v>1</v>
      </c>
      <c r="K196" s="11" t="n">
        <f aca="false">IF(E196+F196=0,"",E196/(E196+F196))</f>
        <v>1</v>
      </c>
      <c r="L196" s="9" t="str">
        <f aca="false">IF(E196+I196&gt;0,"Yes","No")</f>
        <v>Yes</v>
      </c>
      <c r="M196" s="12" t="s">
        <v>412</v>
      </c>
    </row>
    <row r="197" customFormat="false" ht="15" hidden="false" customHeight="false" outlineLevel="0" collapsed="false">
      <c r="A197" s="13" t="n">
        <v>159</v>
      </c>
      <c r="B197" s="13" t="s">
        <v>413</v>
      </c>
      <c r="C197" s="6" t="n">
        <v>32</v>
      </c>
      <c r="D197" s="6" t="n">
        <v>14</v>
      </c>
      <c r="E197" s="6" t="n">
        <v>46</v>
      </c>
      <c r="F197" s="6" t="n">
        <v>2</v>
      </c>
      <c r="G197" s="6" t="n">
        <v>3</v>
      </c>
      <c r="H197" s="6" t="n">
        <v>1</v>
      </c>
      <c r="I197" s="6" t="n">
        <v>4</v>
      </c>
      <c r="J197" s="6" t="n">
        <v>0</v>
      </c>
      <c r="K197" s="7" t="n">
        <f aca="false">IF(E197+F197=0,"",E197/(E197+F197))</f>
        <v>0.958333333333333</v>
      </c>
      <c r="L197" s="13" t="str">
        <f aca="false">IF(E197+I197&gt;0,"Yes","No")</f>
        <v>Yes</v>
      </c>
      <c r="M197" s="14" t="s">
        <v>414</v>
      </c>
    </row>
    <row r="198" customFormat="false" ht="15" hidden="false" customHeight="false" outlineLevel="0" collapsed="false">
      <c r="A198" s="9" t="n">
        <v>209</v>
      </c>
      <c r="B198" s="9" t="s">
        <v>415</v>
      </c>
      <c r="C198" s="10" t="n">
        <v>14</v>
      </c>
      <c r="D198" s="10" t="n">
        <v>32</v>
      </c>
      <c r="E198" s="10" t="n">
        <v>46</v>
      </c>
      <c r="F198" s="10" t="n">
        <v>0</v>
      </c>
      <c r="G198" s="10" t="n">
        <v>1</v>
      </c>
      <c r="H198" s="10" t="n">
        <v>1</v>
      </c>
      <c r="I198" s="10" t="n">
        <v>2</v>
      </c>
      <c r="J198" s="10" t="n">
        <v>0</v>
      </c>
      <c r="K198" s="11" t="n">
        <f aca="false">IF(E198+F198=0,"",E198/(E198+F198))</f>
        <v>1</v>
      </c>
      <c r="L198" s="9" t="str">
        <f aca="false">IF(E198+I198&gt;0,"Yes","No")</f>
        <v>Yes</v>
      </c>
      <c r="M198" s="12" t="s">
        <v>416</v>
      </c>
    </row>
    <row r="199" customFormat="false" ht="15" hidden="false" customHeight="false" outlineLevel="0" collapsed="false">
      <c r="A199" s="13" t="n">
        <v>177</v>
      </c>
      <c r="B199" s="13" t="s">
        <v>417</v>
      </c>
      <c r="C199" s="6" t="n">
        <v>24</v>
      </c>
      <c r="D199" s="6" t="n">
        <v>21</v>
      </c>
      <c r="E199" s="6" t="n">
        <v>45</v>
      </c>
      <c r="F199" s="6" t="n">
        <v>1</v>
      </c>
      <c r="G199" s="6" t="n">
        <v>2</v>
      </c>
      <c r="H199" s="6" t="n">
        <v>10</v>
      </c>
      <c r="I199" s="6" t="n">
        <v>12</v>
      </c>
      <c r="J199" s="6" t="n">
        <v>0</v>
      </c>
      <c r="K199" s="7" t="n">
        <f aca="false">IF(E199+F199=0,"",E199/(E199+F199))</f>
        <v>0.978260869565217</v>
      </c>
      <c r="L199" s="13" t="str">
        <f aca="false">IF(E199+I199&gt;0,"Yes","No")</f>
        <v>Yes</v>
      </c>
      <c r="M199" s="14" t="s">
        <v>418</v>
      </c>
    </row>
    <row r="200" customFormat="false" ht="15" hidden="false" customHeight="false" outlineLevel="0" collapsed="false">
      <c r="A200" s="9" t="n">
        <v>202</v>
      </c>
      <c r="B200" s="9" t="s">
        <v>419</v>
      </c>
      <c r="C200" s="10" t="n">
        <v>23</v>
      </c>
      <c r="D200" s="10" t="n">
        <v>22</v>
      </c>
      <c r="E200" s="10" t="n">
        <v>45</v>
      </c>
      <c r="F200" s="10" t="n">
        <v>0</v>
      </c>
      <c r="G200" s="10" t="n">
        <v>7</v>
      </c>
      <c r="H200" s="10" t="n">
        <v>5</v>
      </c>
      <c r="I200" s="10" t="n">
        <v>12</v>
      </c>
      <c r="J200" s="10" t="n">
        <v>0</v>
      </c>
      <c r="K200" s="11" t="n">
        <f aca="false">IF(E200+F200=0,"",E200/(E200+F200))</f>
        <v>1</v>
      </c>
      <c r="L200" s="9" t="str">
        <f aca="false">IF(E200+I200&gt;0,"Yes","No")</f>
        <v>Yes</v>
      </c>
      <c r="M200" s="12" t="s">
        <v>420</v>
      </c>
    </row>
    <row r="201" customFormat="false" ht="15" hidden="false" customHeight="false" outlineLevel="0" collapsed="false">
      <c r="A201" s="13" t="n">
        <v>367</v>
      </c>
      <c r="B201" s="13" t="s">
        <v>421</v>
      </c>
      <c r="C201" s="6" t="n">
        <v>31</v>
      </c>
      <c r="D201" s="6" t="n">
        <v>14</v>
      </c>
      <c r="E201" s="6" t="n">
        <v>45</v>
      </c>
      <c r="F201" s="6" t="n">
        <v>0</v>
      </c>
      <c r="G201" s="6" t="n">
        <v>1</v>
      </c>
      <c r="H201" s="6" t="n">
        <v>7</v>
      </c>
      <c r="I201" s="6" t="n">
        <v>8</v>
      </c>
      <c r="J201" s="6" t="n">
        <v>0</v>
      </c>
      <c r="K201" s="7" t="n">
        <f aca="false">IF(E201+F201=0,"",E201/(E201+F201))</f>
        <v>1</v>
      </c>
      <c r="L201" s="13" t="str">
        <f aca="false">IF(E201+I201&gt;0,"Yes","No")</f>
        <v>Yes</v>
      </c>
      <c r="M201" s="14" t="s">
        <v>422</v>
      </c>
    </row>
    <row r="202" customFormat="false" ht="15" hidden="false" customHeight="false" outlineLevel="0" collapsed="false">
      <c r="A202" s="9" t="n">
        <v>271</v>
      </c>
      <c r="B202" s="9" t="s">
        <v>423</v>
      </c>
      <c r="C202" s="10" t="n">
        <v>16</v>
      </c>
      <c r="D202" s="10" t="n">
        <v>28</v>
      </c>
      <c r="E202" s="10" t="n">
        <v>44</v>
      </c>
      <c r="F202" s="10" t="n">
        <v>1</v>
      </c>
      <c r="G202" s="10" t="n">
        <v>5</v>
      </c>
      <c r="H202" s="10" t="n">
        <v>5</v>
      </c>
      <c r="I202" s="10" t="n">
        <v>10</v>
      </c>
      <c r="J202" s="10" t="n">
        <v>0</v>
      </c>
      <c r="K202" s="11" t="n">
        <f aca="false">IF(E202+F202=0,"",E202/(E202+F202))</f>
        <v>0.977777777777778</v>
      </c>
      <c r="L202" s="9" t="str">
        <f aca="false">IF(E202+I202&gt;0,"Yes","No")</f>
        <v>Yes</v>
      </c>
      <c r="M202" s="12" t="s">
        <v>424</v>
      </c>
    </row>
    <row r="203" customFormat="false" ht="15" hidden="false" customHeight="false" outlineLevel="0" collapsed="false">
      <c r="A203" s="13" t="n">
        <v>344</v>
      </c>
      <c r="B203" s="13" t="s">
        <v>425</v>
      </c>
      <c r="C203" s="6" t="n">
        <v>11</v>
      </c>
      <c r="D203" s="6" t="n">
        <v>33</v>
      </c>
      <c r="E203" s="6" t="n">
        <v>44</v>
      </c>
      <c r="F203" s="6" t="n">
        <v>0</v>
      </c>
      <c r="G203" s="6" t="n">
        <v>1</v>
      </c>
      <c r="H203" s="6" t="n">
        <v>4</v>
      </c>
      <c r="I203" s="6" t="n">
        <v>5</v>
      </c>
      <c r="J203" s="6" t="n">
        <v>0</v>
      </c>
      <c r="K203" s="7" t="n">
        <f aca="false">IF(E203+F203=0,"",E203/(E203+F203))</f>
        <v>1</v>
      </c>
      <c r="L203" s="13" t="str">
        <f aca="false">IF(E203+I203&gt;0,"Yes","No")</f>
        <v>Yes</v>
      </c>
      <c r="M203" s="14" t="s">
        <v>426</v>
      </c>
    </row>
    <row r="204" customFormat="false" ht="15" hidden="false" customHeight="false" outlineLevel="0" collapsed="false">
      <c r="A204" s="9" t="n">
        <v>140</v>
      </c>
      <c r="B204" s="9" t="s">
        <v>427</v>
      </c>
      <c r="C204" s="10" t="n">
        <v>26</v>
      </c>
      <c r="D204" s="10" t="n">
        <v>17</v>
      </c>
      <c r="E204" s="10" t="n">
        <v>43</v>
      </c>
      <c r="F204" s="10" t="n">
        <v>2</v>
      </c>
      <c r="G204" s="10" t="n">
        <v>12</v>
      </c>
      <c r="H204" s="10" t="n">
        <v>3</v>
      </c>
      <c r="I204" s="10" t="n">
        <v>15</v>
      </c>
      <c r="J204" s="10" t="n">
        <v>0</v>
      </c>
      <c r="K204" s="11" t="n">
        <f aca="false">IF(E204+F204=0,"",E204/(E204+F204))</f>
        <v>0.955555555555556</v>
      </c>
      <c r="L204" s="9" t="str">
        <f aca="false">IF(E204+I204&gt;0,"Yes","No")</f>
        <v>Yes</v>
      </c>
      <c r="M204" s="12" t="s">
        <v>428</v>
      </c>
    </row>
    <row r="205" customFormat="false" ht="15" hidden="false" customHeight="false" outlineLevel="0" collapsed="false">
      <c r="A205" s="13" t="n">
        <v>320</v>
      </c>
      <c r="B205" s="13" t="s">
        <v>429</v>
      </c>
      <c r="C205" s="6" t="n">
        <v>25</v>
      </c>
      <c r="D205" s="6" t="n">
        <v>17</v>
      </c>
      <c r="E205" s="6" t="n">
        <v>42</v>
      </c>
      <c r="F205" s="6" t="n">
        <v>0</v>
      </c>
      <c r="G205" s="6" t="n">
        <v>7</v>
      </c>
      <c r="H205" s="6" t="n">
        <v>5</v>
      </c>
      <c r="I205" s="6" t="n">
        <v>12</v>
      </c>
      <c r="J205" s="6" t="n">
        <v>0</v>
      </c>
      <c r="K205" s="7" t="n">
        <f aca="false">IF(E205+F205=0,"",E205/(E205+F205))</f>
        <v>1</v>
      </c>
      <c r="L205" s="13" t="str">
        <f aca="false">IF(E205+I205&gt;0,"Yes","No")</f>
        <v>Yes</v>
      </c>
      <c r="M205" s="14" t="s">
        <v>430</v>
      </c>
    </row>
    <row r="206" customFormat="false" ht="15" hidden="false" customHeight="false" outlineLevel="0" collapsed="false">
      <c r="A206" s="9" t="n">
        <v>305</v>
      </c>
      <c r="B206" s="9" t="s">
        <v>431</v>
      </c>
      <c r="C206" s="10" t="n">
        <v>20</v>
      </c>
      <c r="D206" s="10" t="n">
        <v>22</v>
      </c>
      <c r="E206" s="10" t="n">
        <v>42</v>
      </c>
      <c r="F206" s="10" t="n">
        <v>1</v>
      </c>
      <c r="G206" s="10" t="n">
        <v>7</v>
      </c>
      <c r="H206" s="10" t="n">
        <v>3</v>
      </c>
      <c r="I206" s="10" t="n">
        <v>10</v>
      </c>
      <c r="J206" s="10" t="n">
        <v>0</v>
      </c>
      <c r="K206" s="11" t="n">
        <f aca="false">IF(E206+F206=0,"",E206/(E206+F206))</f>
        <v>0.976744186046512</v>
      </c>
      <c r="L206" s="9" t="str">
        <f aca="false">IF(E206+I206&gt;0,"Yes","No")</f>
        <v>Yes</v>
      </c>
      <c r="M206" s="12" t="s">
        <v>432</v>
      </c>
    </row>
    <row r="207" customFormat="false" ht="15" hidden="false" customHeight="false" outlineLevel="0" collapsed="false">
      <c r="A207" s="13" t="n">
        <v>314</v>
      </c>
      <c r="B207" s="13" t="s">
        <v>433</v>
      </c>
      <c r="C207" s="6" t="n">
        <v>20</v>
      </c>
      <c r="D207" s="6" t="n">
        <v>22</v>
      </c>
      <c r="E207" s="6" t="n">
        <v>42</v>
      </c>
      <c r="F207" s="6" t="n">
        <v>0</v>
      </c>
      <c r="G207" s="6" t="n">
        <v>6</v>
      </c>
      <c r="H207" s="6" t="n">
        <v>4</v>
      </c>
      <c r="I207" s="6" t="n">
        <v>10</v>
      </c>
      <c r="J207" s="6" t="n">
        <v>1</v>
      </c>
      <c r="K207" s="7" t="n">
        <f aca="false">IF(E207+F207=0,"",E207/(E207+F207))</f>
        <v>1</v>
      </c>
      <c r="L207" s="13" t="str">
        <f aca="false">IF(E207+I207&gt;0,"Yes","No")</f>
        <v>Yes</v>
      </c>
      <c r="M207" s="14" t="s">
        <v>434</v>
      </c>
    </row>
    <row r="208" customFormat="false" ht="15" hidden="false" customHeight="false" outlineLevel="0" collapsed="false">
      <c r="A208" s="9" t="n">
        <v>196</v>
      </c>
      <c r="B208" s="9" t="s">
        <v>435</v>
      </c>
      <c r="C208" s="10" t="n">
        <v>28</v>
      </c>
      <c r="D208" s="10" t="n">
        <v>14</v>
      </c>
      <c r="E208" s="10" t="n">
        <v>42</v>
      </c>
      <c r="F208" s="10" t="n">
        <v>2</v>
      </c>
      <c r="G208" s="10" t="n">
        <v>1</v>
      </c>
      <c r="H208" s="10" t="n">
        <v>6</v>
      </c>
      <c r="I208" s="10" t="n">
        <v>7</v>
      </c>
      <c r="J208" s="10" t="n">
        <v>1</v>
      </c>
      <c r="K208" s="11" t="n">
        <f aca="false">IF(E208+F208=0,"",E208/(E208+F208))</f>
        <v>0.954545454545455</v>
      </c>
      <c r="L208" s="9" t="str">
        <f aca="false">IF(E208+I208&gt;0,"Yes","No")</f>
        <v>Yes</v>
      </c>
      <c r="M208" s="12" t="s">
        <v>436</v>
      </c>
    </row>
    <row r="209" customFormat="false" ht="15" hidden="false" customHeight="false" outlineLevel="0" collapsed="false">
      <c r="A209" s="13" t="n">
        <v>440</v>
      </c>
      <c r="B209" s="13" t="s">
        <v>437</v>
      </c>
      <c r="C209" s="6" t="n">
        <v>26</v>
      </c>
      <c r="D209" s="6" t="n">
        <v>16</v>
      </c>
      <c r="E209" s="6" t="n">
        <v>42</v>
      </c>
      <c r="F209" s="6" t="n">
        <v>0</v>
      </c>
      <c r="G209" s="6" t="n">
        <v>4</v>
      </c>
      <c r="H209" s="6" t="n">
        <v>1</v>
      </c>
      <c r="I209" s="6" t="n">
        <v>5</v>
      </c>
      <c r="J209" s="6" t="n">
        <v>0</v>
      </c>
      <c r="K209" s="7" t="n">
        <f aca="false">IF(E209+F209=0,"",E209/(E209+F209))</f>
        <v>1</v>
      </c>
      <c r="L209" s="13" t="str">
        <f aca="false">IF(E209+I209&gt;0,"Yes","No")</f>
        <v>Yes</v>
      </c>
      <c r="M209" s="14" t="s">
        <v>438</v>
      </c>
    </row>
    <row r="210" customFormat="false" ht="15" hidden="false" customHeight="false" outlineLevel="0" collapsed="false">
      <c r="A210" s="9" t="n">
        <v>26</v>
      </c>
      <c r="B210" s="9" t="s">
        <v>439</v>
      </c>
      <c r="C210" s="10" t="n">
        <v>7</v>
      </c>
      <c r="D210" s="10" t="n">
        <v>35</v>
      </c>
      <c r="E210" s="10" t="n">
        <v>42</v>
      </c>
      <c r="F210" s="10" t="n">
        <v>0</v>
      </c>
      <c r="G210" s="10" t="n">
        <v>2</v>
      </c>
      <c r="H210" s="10" t="n">
        <v>1</v>
      </c>
      <c r="I210" s="10" t="n">
        <v>3</v>
      </c>
      <c r="J210" s="10" t="n">
        <v>0</v>
      </c>
      <c r="K210" s="11" t="n">
        <f aca="false">IF(E210+F210=0,"",E210/(E210+F210))</f>
        <v>1</v>
      </c>
      <c r="L210" s="9" t="str">
        <f aca="false">IF(E210+I210&gt;0,"Yes","No")</f>
        <v>Yes</v>
      </c>
      <c r="M210" s="12" t="s">
        <v>440</v>
      </c>
    </row>
    <row r="211" customFormat="false" ht="15" hidden="false" customHeight="false" outlineLevel="0" collapsed="false">
      <c r="A211" s="13" t="n">
        <v>132</v>
      </c>
      <c r="B211" s="13" t="s">
        <v>441</v>
      </c>
      <c r="C211" s="6" t="n">
        <v>28</v>
      </c>
      <c r="D211" s="6" t="n">
        <v>13</v>
      </c>
      <c r="E211" s="6" t="n">
        <v>41</v>
      </c>
      <c r="F211" s="6" t="n">
        <v>1</v>
      </c>
      <c r="G211" s="6" t="n">
        <v>2</v>
      </c>
      <c r="H211" s="6" t="n">
        <v>1</v>
      </c>
      <c r="I211" s="6" t="n">
        <v>3</v>
      </c>
      <c r="J211" s="6" t="n">
        <v>1</v>
      </c>
      <c r="K211" s="7" t="n">
        <f aca="false">IF(E211+F211=0,"",E211/(E211+F211))</f>
        <v>0.976190476190476</v>
      </c>
      <c r="L211" s="13" t="str">
        <f aca="false">IF(E211+I211&gt;0,"Yes","No")</f>
        <v>Yes</v>
      </c>
      <c r="M211" s="14" t="s">
        <v>442</v>
      </c>
    </row>
    <row r="212" customFormat="false" ht="15" hidden="false" customHeight="false" outlineLevel="0" collapsed="false">
      <c r="A212" s="9" t="n">
        <v>269</v>
      </c>
      <c r="B212" s="9" t="s">
        <v>443</v>
      </c>
      <c r="C212" s="10" t="n">
        <v>11</v>
      </c>
      <c r="D212" s="10" t="n">
        <v>30</v>
      </c>
      <c r="E212" s="10" t="n">
        <v>41</v>
      </c>
      <c r="F212" s="10" t="n">
        <v>0</v>
      </c>
      <c r="G212" s="10" t="n">
        <v>0</v>
      </c>
      <c r="H212" s="10" t="n">
        <v>1</v>
      </c>
      <c r="I212" s="10" t="n">
        <v>1</v>
      </c>
      <c r="J212" s="10" t="n">
        <v>0</v>
      </c>
      <c r="K212" s="11" t="n">
        <f aca="false">IF(E212+F212=0,"",E212/(E212+F212))</f>
        <v>1</v>
      </c>
      <c r="L212" s="9" t="str">
        <f aca="false">IF(E212+I212&gt;0,"Yes","No")</f>
        <v>Yes</v>
      </c>
      <c r="M212" s="12" t="s">
        <v>444</v>
      </c>
    </row>
    <row r="213" customFormat="false" ht="15" hidden="false" customHeight="false" outlineLevel="0" collapsed="false">
      <c r="A213" s="13" t="n">
        <v>137</v>
      </c>
      <c r="B213" s="13" t="s">
        <v>445</v>
      </c>
      <c r="C213" s="6" t="n">
        <v>6</v>
      </c>
      <c r="D213" s="6" t="n">
        <v>34</v>
      </c>
      <c r="E213" s="6" t="n">
        <v>40</v>
      </c>
      <c r="F213" s="6" t="n">
        <v>0</v>
      </c>
      <c r="G213" s="6" t="n">
        <v>1</v>
      </c>
      <c r="H213" s="6" t="n">
        <v>14</v>
      </c>
      <c r="I213" s="6" t="n">
        <v>15</v>
      </c>
      <c r="J213" s="6" t="n">
        <v>1</v>
      </c>
      <c r="K213" s="7" t="n">
        <f aca="false">IF(E213+F213=0,"",E213/(E213+F213))</f>
        <v>1</v>
      </c>
      <c r="L213" s="13" t="str">
        <f aca="false">IF(E213+I213&gt;0,"Yes","No")</f>
        <v>Yes</v>
      </c>
      <c r="M213" s="14" t="s">
        <v>446</v>
      </c>
    </row>
    <row r="214" customFormat="false" ht="15" hidden="false" customHeight="false" outlineLevel="0" collapsed="false">
      <c r="A214" s="9" t="n">
        <v>227</v>
      </c>
      <c r="B214" s="9" t="s">
        <v>447</v>
      </c>
      <c r="C214" s="10" t="n">
        <v>11</v>
      </c>
      <c r="D214" s="10" t="n">
        <v>29</v>
      </c>
      <c r="E214" s="10" t="n">
        <v>40</v>
      </c>
      <c r="F214" s="10" t="n">
        <v>1</v>
      </c>
      <c r="G214" s="10" t="n">
        <v>2</v>
      </c>
      <c r="H214" s="10" t="n">
        <v>5</v>
      </c>
      <c r="I214" s="10" t="n">
        <v>7</v>
      </c>
      <c r="J214" s="10" t="n">
        <v>0</v>
      </c>
      <c r="K214" s="11" t="n">
        <f aca="false">IF(E214+F214=0,"",E214/(E214+F214))</f>
        <v>0.975609756097561</v>
      </c>
      <c r="L214" s="9" t="str">
        <f aca="false">IF(E214+I214&gt;0,"Yes","No")</f>
        <v>Yes</v>
      </c>
      <c r="M214" s="12" t="s">
        <v>448</v>
      </c>
    </row>
    <row r="215" customFormat="false" ht="15" hidden="false" customHeight="false" outlineLevel="0" collapsed="false">
      <c r="A215" s="13" t="n">
        <v>262</v>
      </c>
      <c r="B215" s="13" t="s">
        <v>449</v>
      </c>
      <c r="C215" s="6" t="n">
        <v>26</v>
      </c>
      <c r="D215" s="6" t="n">
        <v>14</v>
      </c>
      <c r="E215" s="6" t="n">
        <v>40</v>
      </c>
      <c r="F215" s="6" t="n">
        <v>1</v>
      </c>
      <c r="G215" s="6" t="n">
        <v>4</v>
      </c>
      <c r="H215" s="6" t="n">
        <v>1</v>
      </c>
      <c r="I215" s="6" t="n">
        <v>5</v>
      </c>
      <c r="J215" s="6" t="n">
        <v>1</v>
      </c>
      <c r="K215" s="7" t="n">
        <f aca="false">IF(E215+F215=0,"",E215/(E215+F215))</f>
        <v>0.975609756097561</v>
      </c>
      <c r="L215" s="13" t="str">
        <f aca="false">IF(E215+I215&gt;0,"Yes","No")</f>
        <v>Yes</v>
      </c>
      <c r="M215" s="14" t="s">
        <v>450</v>
      </c>
    </row>
    <row r="216" customFormat="false" ht="15" hidden="false" customHeight="false" outlineLevel="0" collapsed="false">
      <c r="A216" s="9" t="n">
        <v>435</v>
      </c>
      <c r="B216" s="9" t="s">
        <v>451</v>
      </c>
      <c r="C216" s="10" t="n">
        <v>23</v>
      </c>
      <c r="D216" s="10" t="n">
        <v>17</v>
      </c>
      <c r="E216" s="10" t="n">
        <v>40</v>
      </c>
      <c r="F216" s="10" t="n">
        <v>0</v>
      </c>
      <c r="G216" s="10" t="n">
        <v>1</v>
      </c>
      <c r="H216" s="10" t="n">
        <v>3</v>
      </c>
      <c r="I216" s="10" t="n">
        <v>4</v>
      </c>
      <c r="J216" s="10" t="n">
        <v>1</v>
      </c>
      <c r="K216" s="11" t="n">
        <f aca="false">IF(E216+F216=0,"",E216/(E216+F216))</f>
        <v>1</v>
      </c>
      <c r="L216" s="9" t="str">
        <f aca="false">IF(E216+I216&gt;0,"Yes","No")</f>
        <v>Yes</v>
      </c>
      <c r="M216" s="12" t="s">
        <v>452</v>
      </c>
    </row>
    <row r="217" customFormat="false" ht="15" hidden="false" customHeight="false" outlineLevel="0" collapsed="false">
      <c r="A217" s="13" t="n">
        <v>335</v>
      </c>
      <c r="B217" s="13" t="s">
        <v>453</v>
      </c>
      <c r="C217" s="6" t="n">
        <v>33</v>
      </c>
      <c r="D217" s="6" t="n">
        <v>6</v>
      </c>
      <c r="E217" s="6" t="n">
        <v>39</v>
      </c>
      <c r="F217" s="6" t="n">
        <v>0</v>
      </c>
      <c r="G217" s="6" t="n">
        <v>9</v>
      </c>
      <c r="H217" s="6" t="n">
        <v>0</v>
      </c>
      <c r="I217" s="6" t="n">
        <v>9</v>
      </c>
      <c r="J217" s="6" t="n">
        <v>0</v>
      </c>
      <c r="K217" s="7" t="n">
        <f aca="false">IF(E217+F217=0,"",E217/(E217+F217))</f>
        <v>1</v>
      </c>
      <c r="L217" s="13" t="str">
        <f aca="false">IF(E217+I217&gt;0,"Yes","No")</f>
        <v>Yes</v>
      </c>
      <c r="M217" s="14" t="s">
        <v>454</v>
      </c>
    </row>
    <row r="218" customFormat="false" ht="15" hidden="false" customHeight="false" outlineLevel="0" collapsed="false">
      <c r="A218" s="9" t="n">
        <v>167</v>
      </c>
      <c r="B218" s="9" t="s">
        <v>455</v>
      </c>
      <c r="C218" s="10" t="n">
        <v>26</v>
      </c>
      <c r="D218" s="10" t="n">
        <v>13</v>
      </c>
      <c r="E218" s="10" t="n">
        <v>39</v>
      </c>
      <c r="F218" s="10" t="n">
        <v>0</v>
      </c>
      <c r="G218" s="10" t="n">
        <v>3</v>
      </c>
      <c r="H218" s="10" t="n">
        <v>0</v>
      </c>
      <c r="I218" s="10" t="n">
        <v>3</v>
      </c>
      <c r="J218" s="10" t="n">
        <v>0</v>
      </c>
      <c r="K218" s="11" t="n">
        <f aca="false">IF(E218+F218=0,"",E218/(E218+F218))</f>
        <v>1</v>
      </c>
      <c r="L218" s="9" t="str">
        <f aca="false">IF(E218+I218&gt;0,"Yes","No")</f>
        <v>Yes</v>
      </c>
      <c r="M218" s="12" t="s">
        <v>456</v>
      </c>
    </row>
    <row r="219" customFormat="false" ht="15" hidden="false" customHeight="false" outlineLevel="0" collapsed="false">
      <c r="A219" s="13" t="n">
        <v>111</v>
      </c>
      <c r="B219" s="13" t="s">
        <v>457</v>
      </c>
      <c r="C219" s="6" t="n">
        <v>25</v>
      </c>
      <c r="D219" s="6" t="n">
        <v>13</v>
      </c>
      <c r="E219" s="6" t="n">
        <v>38</v>
      </c>
      <c r="F219" s="6" t="n">
        <v>1</v>
      </c>
      <c r="G219" s="6" t="n">
        <v>10</v>
      </c>
      <c r="H219" s="6" t="n">
        <v>4</v>
      </c>
      <c r="I219" s="6" t="n">
        <v>14</v>
      </c>
      <c r="J219" s="6" t="n">
        <v>0</v>
      </c>
      <c r="K219" s="7" t="n">
        <f aca="false">IF(E219+F219=0,"",E219/(E219+F219))</f>
        <v>0.974358974358974</v>
      </c>
      <c r="L219" s="13" t="str">
        <f aca="false">IF(E219+I219&gt;0,"Yes","No")</f>
        <v>Yes</v>
      </c>
      <c r="M219" s="14" t="s">
        <v>458</v>
      </c>
    </row>
    <row r="220" customFormat="false" ht="15" hidden="false" customHeight="false" outlineLevel="0" collapsed="false">
      <c r="A220" s="9" t="n">
        <v>451</v>
      </c>
      <c r="B220" s="9" t="s">
        <v>459</v>
      </c>
      <c r="C220" s="10" t="n">
        <v>11</v>
      </c>
      <c r="D220" s="10" t="n">
        <v>26</v>
      </c>
      <c r="E220" s="10" t="n">
        <v>37</v>
      </c>
      <c r="F220" s="10" t="n">
        <v>0</v>
      </c>
      <c r="G220" s="10" t="n">
        <v>2</v>
      </c>
      <c r="H220" s="10" t="n">
        <v>4</v>
      </c>
      <c r="I220" s="10" t="n">
        <v>6</v>
      </c>
      <c r="J220" s="10" t="n">
        <v>0</v>
      </c>
      <c r="K220" s="11" t="n">
        <f aca="false">IF(E220+F220=0,"",E220/(E220+F220))</f>
        <v>1</v>
      </c>
      <c r="L220" s="9" t="str">
        <f aca="false">IF(E220+I220&gt;0,"Yes","No")</f>
        <v>Yes</v>
      </c>
      <c r="M220" s="12" t="s">
        <v>460</v>
      </c>
    </row>
    <row r="221" customFormat="false" ht="15" hidden="false" customHeight="false" outlineLevel="0" collapsed="false">
      <c r="A221" s="13" t="n">
        <v>463</v>
      </c>
      <c r="B221" s="13" t="s">
        <v>461</v>
      </c>
      <c r="C221" s="6" t="n">
        <v>11</v>
      </c>
      <c r="D221" s="6" t="n">
        <v>26</v>
      </c>
      <c r="E221" s="6" t="n">
        <v>37</v>
      </c>
      <c r="F221" s="6" t="n">
        <v>1</v>
      </c>
      <c r="G221" s="6" t="n">
        <v>0</v>
      </c>
      <c r="H221" s="6" t="n">
        <v>3</v>
      </c>
      <c r="I221" s="6" t="n">
        <v>3</v>
      </c>
      <c r="J221" s="6" t="n">
        <v>0</v>
      </c>
      <c r="K221" s="7" t="n">
        <f aca="false">IF(E221+F221=0,"",E221/(E221+F221))</f>
        <v>0.973684210526316</v>
      </c>
      <c r="L221" s="13" t="str">
        <f aca="false">IF(E221+I221&gt;0,"Yes","No")</f>
        <v>Yes</v>
      </c>
      <c r="M221" s="14" t="s">
        <v>462</v>
      </c>
    </row>
    <row r="222" customFormat="false" ht="15" hidden="false" customHeight="false" outlineLevel="0" collapsed="false">
      <c r="A222" s="9" t="n">
        <v>280</v>
      </c>
      <c r="B222" s="9" t="s">
        <v>463</v>
      </c>
      <c r="C222" s="10" t="n">
        <v>31</v>
      </c>
      <c r="D222" s="10" t="n">
        <v>3</v>
      </c>
      <c r="E222" s="10" t="n">
        <v>34</v>
      </c>
      <c r="F222" s="10" t="n">
        <v>1</v>
      </c>
      <c r="G222" s="10" t="n">
        <v>4</v>
      </c>
      <c r="H222" s="10" t="n">
        <v>1</v>
      </c>
      <c r="I222" s="10" t="n">
        <v>5</v>
      </c>
      <c r="J222" s="10" t="n">
        <v>0</v>
      </c>
      <c r="K222" s="11" t="n">
        <f aca="false">IF(E222+F222=0,"",E222/(E222+F222))</f>
        <v>0.971428571428571</v>
      </c>
      <c r="L222" s="9" t="str">
        <f aca="false">IF(E222+I222&gt;0,"Yes","No")</f>
        <v>Yes</v>
      </c>
      <c r="M222" s="12" t="s">
        <v>464</v>
      </c>
    </row>
    <row r="223" customFormat="false" ht="15" hidden="false" customHeight="false" outlineLevel="0" collapsed="false">
      <c r="A223" s="13" t="n">
        <v>178</v>
      </c>
      <c r="B223" s="13" t="s">
        <v>465</v>
      </c>
      <c r="C223" s="6" t="n">
        <v>18</v>
      </c>
      <c r="D223" s="6" t="n">
        <v>16</v>
      </c>
      <c r="E223" s="6" t="n">
        <v>34</v>
      </c>
      <c r="F223" s="6" t="n">
        <v>0</v>
      </c>
      <c r="G223" s="6" t="n">
        <v>0</v>
      </c>
      <c r="H223" s="6" t="n">
        <v>2</v>
      </c>
      <c r="I223" s="6" t="n">
        <v>2</v>
      </c>
      <c r="J223" s="6" t="n">
        <v>0</v>
      </c>
      <c r="K223" s="7" t="n">
        <f aca="false">IF(E223+F223=0,"",E223/(E223+F223))</f>
        <v>1</v>
      </c>
      <c r="L223" s="13" t="str">
        <f aca="false">IF(E223+I223&gt;0,"Yes","No")</f>
        <v>Yes</v>
      </c>
      <c r="M223" s="14" t="s">
        <v>466</v>
      </c>
    </row>
    <row r="224" customFormat="false" ht="15" hidden="false" customHeight="false" outlineLevel="0" collapsed="false">
      <c r="A224" s="9" t="n">
        <v>415</v>
      </c>
      <c r="B224" s="9" t="s">
        <v>467</v>
      </c>
      <c r="C224" s="10" t="n">
        <v>22</v>
      </c>
      <c r="D224" s="10" t="n">
        <v>12</v>
      </c>
      <c r="E224" s="10" t="n">
        <v>34</v>
      </c>
      <c r="F224" s="10" t="n">
        <v>0</v>
      </c>
      <c r="G224" s="10" t="n">
        <v>2</v>
      </c>
      <c r="H224" s="10" t="n">
        <v>0</v>
      </c>
      <c r="I224" s="10" t="n">
        <v>2</v>
      </c>
      <c r="J224" s="10" t="n">
        <v>0</v>
      </c>
      <c r="K224" s="11" t="n">
        <f aca="false">IF(E224+F224=0,"",E224/(E224+F224))</f>
        <v>1</v>
      </c>
      <c r="L224" s="9" t="str">
        <f aca="false">IF(E224+I224&gt;0,"Yes","No")</f>
        <v>Yes</v>
      </c>
      <c r="M224" s="12" t="s">
        <v>468</v>
      </c>
    </row>
    <row r="225" customFormat="false" ht="15" hidden="false" customHeight="false" outlineLevel="0" collapsed="false">
      <c r="A225" s="13" t="n">
        <v>272</v>
      </c>
      <c r="B225" s="13" t="s">
        <v>469</v>
      </c>
      <c r="C225" s="6" t="n">
        <v>22</v>
      </c>
      <c r="D225" s="6" t="n">
        <v>11</v>
      </c>
      <c r="E225" s="6" t="n">
        <v>33</v>
      </c>
      <c r="F225" s="6" t="n">
        <v>1</v>
      </c>
      <c r="G225" s="6" t="n">
        <v>7</v>
      </c>
      <c r="H225" s="6" t="n">
        <v>4</v>
      </c>
      <c r="I225" s="6" t="n">
        <v>11</v>
      </c>
      <c r="J225" s="6" t="n">
        <v>0</v>
      </c>
      <c r="K225" s="7" t="n">
        <f aca="false">IF(E225+F225=0,"",E225/(E225+F225))</f>
        <v>0.970588235294118</v>
      </c>
      <c r="L225" s="13" t="str">
        <f aca="false">IF(E225+I225&gt;0,"Yes","No")</f>
        <v>Yes</v>
      </c>
      <c r="M225" s="14" t="s">
        <v>470</v>
      </c>
    </row>
    <row r="226" customFormat="false" ht="15" hidden="false" customHeight="false" outlineLevel="0" collapsed="false">
      <c r="A226" s="9" t="n">
        <v>332</v>
      </c>
      <c r="B226" s="9" t="s">
        <v>471</v>
      </c>
      <c r="C226" s="10" t="n">
        <v>29</v>
      </c>
      <c r="D226" s="10" t="n">
        <v>4</v>
      </c>
      <c r="E226" s="10" t="n">
        <v>33</v>
      </c>
      <c r="F226" s="10" t="n">
        <v>0</v>
      </c>
      <c r="G226" s="10" t="n">
        <v>6</v>
      </c>
      <c r="H226" s="10" t="n">
        <v>1</v>
      </c>
      <c r="I226" s="10" t="n">
        <v>7</v>
      </c>
      <c r="J226" s="10" t="n">
        <v>0</v>
      </c>
      <c r="K226" s="11" t="n">
        <f aca="false">IF(E226+F226=0,"",E226/(E226+F226))</f>
        <v>1</v>
      </c>
      <c r="L226" s="9" t="str">
        <f aca="false">IF(E226+I226&gt;0,"Yes","No")</f>
        <v>Yes</v>
      </c>
      <c r="M226" s="12" t="s">
        <v>472</v>
      </c>
    </row>
    <row r="227" customFormat="false" ht="15" hidden="false" customHeight="false" outlineLevel="0" collapsed="false">
      <c r="A227" s="13" t="n">
        <v>131</v>
      </c>
      <c r="B227" s="13" t="s">
        <v>473</v>
      </c>
      <c r="C227" s="6" t="n">
        <v>20</v>
      </c>
      <c r="D227" s="6" t="n">
        <v>13</v>
      </c>
      <c r="E227" s="6" t="n">
        <v>33</v>
      </c>
      <c r="F227" s="6" t="n">
        <v>0</v>
      </c>
      <c r="G227" s="6" t="n">
        <v>4</v>
      </c>
      <c r="H227" s="6" t="n">
        <v>1</v>
      </c>
      <c r="I227" s="6" t="n">
        <v>5</v>
      </c>
      <c r="J227" s="6" t="n">
        <v>0</v>
      </c>
      <c r="K227" s="7" t="n">
        <f aca="false">IF(E227+F227=0,"",E227/(E227+F227))</f>
        <v>1</v>
      </c>
      <c r="L227" s="13" t="str">
        <f aca="false">IF(E227+I227&gt;0,"Yes","No")</f>
        <v>Yes</v>
      </c>
      <c r="M227" s="14" t="s">
        <v>474</v>
      </c>
    </row>
    <row r="228" customFormat="false" ht="15" hidden="false" customHeight="false" outlineLevel="0" collapsed="false">
      <c r="A228" s="9" t="n">
        <v>169</v>
      </c>
      <c r="B228" s="9" t="s">
        <v>475</v>
      </c>
      <c r="C228" s="10" t="n">
        <v>16</v>
      </c>
      <c r="D228" s="10" t="n">
        <v>17</v>
      </c>
      <c r="E228" s="10" t="n">
        <v>33</v>
      </c>
      <c r="F228" s="10" t="n">
        <v>0</v>
      </c>
      <c r="G228" s="10" t="n">
        <v>3</v>
      </c>
      <c r="H228" s="10" t="n">
        <v>1</v>
      </c>
      <c r="I228" s="10" t="n">
        <v>4</v>
      </c>
      <c r="J228" s="10" t="n">
        <v>0</v>
      </c>
      <c r="K228" s="11" t="n">
        <f aca="false">IF(E228+F228=0,"",E228/(E228+F228))</f>
        <v>1</v>
      </c>
      <c r="L228" s="9" t="str">
        <f aca="false">IF(E228+I228&gt;0,"Yes","No")</f>
        <v>Yes</v>
      </c>
      <c r="M228" s="12" t="s">
        <v>476</v>
      </c>
    </row>
    <row r="229" customFormat="false" ht="15" hidden="false" customHeight="false" outlineLevel="0" collapsed="false">
      <c r="A229" s="13" t="n">
        <v>254</v>
      </c>
      <c r="B229" s="13" t="s">
        <v>477</v>
      </c>
      <c r="C229" s="6" t="n">
        <v>27</v>
      </c>
      <c r="D229" s="6" t="n">
        <v>6</v>
      </c>
      <c r="E229" s="6" t="n">
        <v>33</v>
      </c>
      <c r="F229" s="6" t="n">
        <v>0</v>
      </c>
      <c r="G229" s="6" t="n">
        <v>0</v>
      </c>
      <c r="H229" s="6" t="n">
        <v>1</v>
      </c>
      <c r="I229" s="6" t="n">
        <v>1</v>
      </c>
      <c r="J229" s="6" t="n">
        <v>1</v>
      </c>
      <c r="K229" s="7" t="n">
        <f aca="false">IF(E229+F229=0,"",E229/(E229+F229))</f>
        <v>1</v>
      </c>
      <c r="L229" s="13" t="str">
        <f aca="false">IF(E229+I229&gt;0,"Yes","No")</f>
        <v>Yes</v>
      </c>
      <c r="M229" s="14" t="s">
        <v>478</v>
      </c>
    </row>
    <row r="230" customFormat="false" ht="15" hidden="false" customHeight="false" outlineLevel="0" collapsed="false">
      <c r="A230" s="9" t="n">
        <v>46</v>
      </c>
      <c r="B230" s="9" t="s">
        <v>479</v>
      </c>
      <c r="C230" s="10" t="n">
        <v>23</v>
      </c>
      <c r="D230" s="10" t="n">
        <v>9</v>
      </c>
      <c r="E230" s="10" t="n">
        <v>32</v>
      </c>
      <c r="F230" s="10" t="n">
        <v>1</v>
      </c>
      <c r="G230" s="10" t="n">
        <v>15</v>
      </c>
      <c r="H230" s="10" t="n">
        <v>4</v>
      </c>
      <c r="I230" s="10" t="n">
        <v>19</v>
      </c>
      <c r="J230" s="10" t="n">
        <v>2</v>
      </c>
      <c r="K230" s="11" t="n">
        <f aca="false">IF(E230+F230=0,"",E230/(E230+F230))</f>
        <v>0.96969696969697</v>
      </c>
      <c r="L230" s="9" t="str">
        <f aca="false">IF(E230+I230&gt;0,"Yes","No")</f>
        <v>Yes</v>
      </c>
      <c r="M230" s="12" t="s">
        <v>480</v>
      </c>
    </row>
    <row r="231" customFormat="false" ht="15" hidden="false" customHeight="false" outlineLevel="0" collapsed="false">
      <c r="A231" s="13" t="n">
        <v>390</v>
      </c>
      <c r="B231" s="13" t="s">
        <v>481</v>
      </c>
      <c r="C231" s="6" t="n">
        <v>18</v>
      </c>
      <c r="D231" s="6" t="n">
        <v>14</v>
      </c>
      <c r="E231" s="6" t="n">
        <v>32</v>
      </c>
      <c r="F231" s="6" t="n">
        <v>2</v>
      </c>
      <c r="G231" s="6" t="n">
        <v>6</v>
      </c>
      <c r="H231" s="6" t="n">
        <v>2</v>
      </c>
      <c r="I231" s="6" t="n">
        <v>8</v>
      </c>
      <c r="J231" s="6" t="n">
        <v>1</v>
      </c>
      <c r="K231" s="7" t="n">
        <f aca="false">IF(E231+F231=0,"",E231/(E231+F231))</f>
        <v>0.941176470588235</v>
      </c>
      <c r="L231" s="13" t="str">
        <f aca="false">IF(E231+I231&gt;0,"Yes","No")</f>
        <v>Yes</v>
      </c>
      <c r="M231" s="14" t="s">
        <v>482</v>
      </c>
    </row>
    <row r="232" customFormat="false" ht="15" hidden="false" customHeight="false" outlineLevel="0" collapsed="false">
      <c r="A232" s="9" t="n">
        <v>83</v>
      </c>
      <c r="B232" s="9" t="s">
        <v>483</v>
      </c>
      <c r="C232" s="10" t="n">
        <v>16</v>
      </c>
      <c r="D232" s="10" t="n">
        <v>16</v>
      </c>
      <c r="E232" s="10" t="n">
        <v>32</v>
      </c>
      <c r="F232" s="10" t="n">
        <v>0</v>
      </c>
      <c r="G232" s="10" t="n">
        <v>5</v>
      </c>
      <c r="H232" s="10" t="n">
        <v>1</v>
      </c>
      <c r="I232" s="10" t="n">
        <v>6</v>
      </c>
      <c r="J232" s="10" t="n">
        <v>0</v>
      </c>
      <c r="K232" s="11" t="n">
        <f aca="false">IF(E232+F232=0,"",E232/(E232+F232))</f>
        <v>1</v>
      </c>
      <c r="L232" s="9" t="str">
        <f aca="false">IF(E232+I232&gt;0,"Yes","No")</f>
        <v>Yes</v>
      </c>
      <c r="M232" s="12" t="s">
        <v>484</v>
      </c>
    </row>
    <row r="233" customFormat="false" ht="15" hidden="false" customHeight="false" outlineLevel="0" collapsed="false">
      <c r="A233" s="13" t="n">
        <v>158</v>
      </c>
      <c r="B233" s="13" t="s">
        <v>485</v>
      </c>
      <c r="C233" s="6" t="n">
        <v>10</v>
      </c>
      <c r="D233" s="6" t="n">
        <v>22</v>
      </c>
      <c r="E233" s="6" t="n">
        <v>32</v>
      </c>
      <c r="F233" s="6" t="n">
        <v>1</v>
      </c>
      <c r="G233" s="6" t="n">
        <v>4</v>
      </c>
      <c r="H233" s="6" t="n">
        <v>1</v>
      </c>
      <c r="I233" s="6" t="n">
        <v>5</v>
      </c>
      <c r="J233" s="6" t="n">
        <v>0</v>
      </c>
      <c r="K233" s="7" t="n">
        <f aca="false">IF(E233+F233=0,"",E233/(E233+F233))</f>
        <v>0.96969696969697</v>
      </c>
      <c r="L233" s="13" t="str">
        <f aca="false">IF(E233+I233&gt;0,"Yes","No")</f>
        <v>Yes</v>
      </c>
      <c r="M233" s="14" t="s">
        <v>486</v>
      </c>
    </row>
    <row r="234" customFormat="false" ht="15" hidden="false" customHeight="false" outlineLevel="0" collapsed="false">
      <c r="A234" s="9" t="n">
        <v>197</v>
      </c>
      <c r="B234" s="9" t="s">
        <v>487</v>
      </c>
      <c r="C234" s="10" t="n">
        <v>14</v>
      </c>
      <c r="D234" s="10" t="n">
        <v>17</v>
      </c>
      <c r="E234" s="10" t="n">
        <v>31</v>
      </c>
      <c r="F234" s="10" t="n">
        <v>0</v>
      </c>
      <c r="G234" s="10" t="n">
        <v>5</v>
      </c>
      <c r="H234" s="10" t="n">
        <v>0</v>
      </c>
      <c r="I234" s="10" t="n">
        <v>5</v>
      </c>
      <c r="J234" s="10" t="n">
        <v>0</v>
      </c>
      <c r="K234" s="11" t="n">
        <f aca="false">IF(E234+F234=0,"",E234/(E234+F234))</f>
        <v>1</v>
      </c>
      <c r="L234" s="9" t="str">
        <f aca="false">IF(E234+I234&gt;0,"Yes","No")</f>
        <v>Yes</v>
      </c>
      <c r="M234" s="12" t="s">
        <v>488</v>
      </c>
    </row>
    <row r="235" customFormat="false" ht="15" hidden="false" customHeight="false" outlineLevel="0" collapsed="false">
      <c r="A235" s="13" t="n">
        <v>226</v>
      </c>
      <c r="B235" s="13" t="s">
        <v>489</v>
      </c>
      <c r="C235" s="6" t="n">
        <v>12</v>
      </c>
      <c r="D235" s="6" t="n">
        <v>18</v>
      </c>
      <c r="E235" s="6" t="n">
        <v>30</v>
      </c>
      <c r="F235" s="6" t="n">
        <v>0</v>
      </c>
      <c r="G235" s="6" t="n">
        <v>0</v>
      </c>
      <c r="H235" s="6" t="n">
        <v>0</v>
      </c>
      <c r="I235" s="6" t="n">
        <v>0</v>
      </c>
      <c r="J235" s="6" t="n">
        <v>0</v>
      </c>
      <c r="K235" s="7" t="n">
        <f aca="false">IF(E235+F235=0,"",E235/(E235+F235))</f>
        <v>1</v>
      </c>
      <c r="L235" s="13" t="str">
        <f aca="false">IF(E235+I235&gt;0,"Yes","No")</f>
        <v>Yes</v>
      </c>
      <c r="M235" s="14" t="s">
        <v>490</v>
      </c>
    </row>
    <row r="236" customFormat="false" ht="15" hidden="false" customHeight="false" outlineLevel="0" collapsed="false">
      <c r="A236" s="9" t="n">
        <v>174</v>
      </c>
      <c r="B236" s="9" t="s">
        <v>491</v>
      </c>
      <c r="C236" s="10" t="n">
        <v>18</v>
      </c>
      <c r="D236" s="10" t="n">
        <v>11</v>
      </c>
      <c r="E236" s="10" t="n">
        <v>29</v>
      </c>
      <c r="F236" s="10" t="n">
        <v>1</v>
      </c>
      <c r="G236" s="10" t="n">
        <v>7</v>
      </c>
      <c r="H236" s="10" t="n">
        <v>4</v>
      </c>
      <c r="I236" s="10" t="n">
        <v>11</v>
      </c>
      <c r="J236" s="10" t="n">
        <v>1</v>
      </c>
      <c r="K236" s="11" t="n">
        <f aca="false">IF(E236+F236=0,"",E236/(E236+F236))</f>
        <v>0.966666666666667</v>
      </c>
      <c r="L236" s="9" t="str">
        <f aca="false">IF(E236+I236&gt;0,"Yes","No")</f>
        <v>Yes</v>
      </c>
      <c r="M236" s="12" t="s">
        <v>492</v>
      </c>
    </row>
    <row r="237" customFormat="false" ht="15" hidden="false" customHeight="false" outlineLevel="0" collapsed="false">
      <c r="A237" s="13" t="n">
        <v>214</v>
      </c>
      <c r="B237" s="13" t="s">
        <v>493</v>
      </c>
      <c r="C237" s="6" t="n">
        <v>14</v>
      </c>
      <c r="D237" s="6" t="n">
        <v>15</v>
      </c>
      <c r="E237" s="6" t="n">
        <v>29</v>
      </c>
      <c r="F237" s="6" t="n">
        <v>0</v>
      </c>
      <c r="G237" s="6" t="n">
        <v>3</v>
      </c>
      <c r="H237" s="6" t="n">
        <v>1</v>
      </c>
      <c r="I237" s="6" t="n">
        <v>4</v>
      </c>
      <c r="J237" s="6" t="n">
        <v>0</v>
      </c>
      <c r="K237" s="7" t="n">
        <f aca="false">IF(E237+F237=0,"",E237/(E237+F237))</f>
        <v>1</v>
      </c>
      <c r="L237" s="13" t="str">
        <f aca="false">IF(E237+I237&gt;0,"Yes","No")</f>
        <v>Yes</v>
      </c>
      <c r="M237" s="14" t="s">
        <v>494</v>
      </c>
    </row>
    <row r="238" customFormat="false" ht="15" hidden="false" customHeight="false" outlineLevel="0" collapsed="false">
      <c r="A238" s="9" t="n">
        <v>261</v>
      </c>
      <c r="B238" s="9" t="s">
        <v>495</v>
      </c>
      <c r="C238" s="10" t="n">
        <v>23</v>
      </c>
      <c r="D238" s="10" t="n">
        <v>5</v>
      </c>
      <c r="E238" s="10" t="n">
        <v>28</v>
      </c>
      <c r="F238" s="10" t="n">
        <v>0</v>
      </c>
      <c r="G238" s="10" t="n">
        <v>4</v>
      </c>
      <c r="H238" s="10" t="n">
        <v>4</v>
      </c>
      <c r="I238" s="10" t="n">
        <v>8</v>
      </c>
      <c r="J238" s="10" t="n">
        <v>0</v>
      </c>
      <c r="K238" s="11" t="n">
        <f aca="false">IF(E238+F238=0,"",E238/(E238+F238))</f>
        <v>1</v>
      </c>
      <c r="L238" s="9" t="str">
        <f aca="false">IF(E238+I238&gt;0,"Yes","No")</f>
        <v>Yes</v>
      </c>
      <c r="M238" s="12" t="s">
        <v>496</v>
      </c>
    </row>
    <row r="239" customFormat="false" ht="15" hidden="false" customHeight="false" outlineLevel="0" collapsed="false">
      <c r="A239" s="13" t="n">
        <v>102</v>
      </c>
      <c r="B239" s="13" t="s">
        <v>497</v>
      </c>
      <c r="C239" s="6" t="n">
        <v>21</v>
      </c>
      <c r="D239" s="6" t="n">
        <v>7</v>
      </c>
      <c r="E239" s="6" t="n">
        <v>28</v>
      </c>
      <c r="F239" s="6" t="n">
        <v>0</v>
      </c>
      <c r="G239" s="6" t="n">
        <v>4</v>
      </c>
      <c r="H239" s="6" t="n">
        <v>2</v>
      </c>
      <c r="I239" s="6" t="n">
        <v>6</v>
      </c>
      <c r="J239" s="6" t="n">
        <v>0</v>
      </c>
      <c r="K239" s="7" t="n">
        <f aca="false">IF(E239+F239=0,"",E239/(E239+F239))</f>
        <v>1</v>
      </c>
      <c r="L239" s="13" t="str">
        <f aca="false">IF(E239+I239&gt;0,"Yes","No")</f>
        <v>Yes</v>
      </c>
      <c r="M239" s="14" t="s">
        <v>498</v>
      </c>
    </row>
    <row r="240" customFormat="false" ht="15" hidden="false" customHeight="false" outlineLevel="0" collapsed="false">
      <c r="A240" s="9" t="n">
        <v>145</v>
      </c>
      <c r="B240" s="9" t="s">
        <v>499</v>
      </c>
      <c r="C240" s="10" t="n">
        <v>14</v>
      </c>
      <c r="D240" s="10" t="n">
        <v>14</v>
      </c>
      <c r="E240" s="10" t="n">
        <v>28</v>
      </c>
      <c r="F240" s="10" t="n">
        <v>0</v>
      </c>
      <c r="G240" s="10" t="n">
        <v>4</v>
      </c>
      <c r="H240" s="10" t="n">
        <v>0</v>
      </c>
      <c r="I240" s="10" t="n">
        <v>4</v>
      </c>
      <c r="J240" s="10" t="n">
        <v>0</v>
      </c>
      <c r="K240" s="11" t="n">
        <f aca="false">IF(E240+F240=0,"",E240/(E240+F240))</f>
        <v>1</v>
      </c>
      <c r="L240" s="9" t="str">
        <f aca="false">IF(E240+I240&gt;0,"Yes","No")</f>
        <v>Yes</v>
      </c>
      <c r="M240" s="12" t="s">
        <v>500</v>
      </c>
    </row>
    <row r="241" customFormat="false" ht="15" hidden="false" customHeight="false" outlineLevel="0" collapsed="false">
      <c r="A241" s="13" t="n">
        <v>224</v>
      </c>
      <c r="B241" s="13" t="s">
        <v>501</v>
      </c>
      <c r="C241" s="6" t="n">
        <v>8</v>
      </c>
      <c r="D241" s="6" t="n">
        <v>20</v>
      </c>
      <c r="E241" s="6" t="n">
        <v>28</v>
      </c>
      <c r="F241" s="6" t="n">
        <v>0</v>
      </c>
      <c r="G241" s="6" t="n">
        <v>2</v>
      </c>
      <c r="H241" s="6" t="n">
        <v>2</v>
      </c>
      <c r="I241" s="6" t="n">
        <v>4</v>
      </c>
      <c r="J241" s="6" t="n">
        <v>0</v>
      </c>
      <c r="K241" s="7" t="n">
        <f aca="false">IF(E241+F241=0,"",E241/(E241+F241))</f>
        <v>1</v>
      </c>
      <c r="L241" s="13" t="str">
        <f aca="false">IF(E241+I241&gt;0,"Yes","No")</f>
        <v>Yes</v>
      </c>
      <c r="M241" s="14" t="s">
        <v>502</v>
      </c>
    </row>
    <row r="242" customFormat="false" ht="15" hidden="false" customHeight="false" outlineLevel="0" collapsed="false">
      <c r="A242" s="9" t="n">
        <v>396</v>
      </c>
      <c r="B242" s="9" t="s">
        <v>503</v>
      </c>
      <c r="C242" s="10" t="n">
        <v>10</v>
      </c>
      <c r="D242" s="10" t="n">
        <v>18</v>
      </c>
      <c r="E242" s="10" t="n">
        <v>28</v>
      </c>
      <c r="F242" s="10" t="n">
        <v>0</v>
      </c>
      <c r="G242" s="10" t="n">
        <v>1</v>
      </c>
      <c r="H242" s="10" t="n">
        <v>3</v>
      </c>
      <c r="I242" s="10" t="n">
        <v>4</v>
      </c>
      <c r="J242" s="10" t="n">
        <v>0</v>
      </c>
      <c r="K242" s="11" t="n">
        <f aca="false">IF(E242+F242=0,"",E242/(E242+F242))</f>
        <v>1</v>
      </c>
      <c r="L242" s="9" t="str">
        <f aca="false">IF(E242+I242&gt;0,"Yes","No")</f>
        <v>Yes</v>
      </c>
      <c r="M242" s="12" t="s">
        <v>504</v>
      </c>
    </row>
    <row r="243" customFormat="false" ht="15" hidden="false" customHeight="false" outlineLevel="0" collapsed="false">
      <c r="A243" s="13" t="n">
        <v>429</v>
      </c>
      <c r="B243" s="13" t="s">
        <v>505</v>
      </c>
      <c r="C243" s="6" t="n">
        <v>9</v>
      </c>
      <c r="D243" s="6" t="n">
        <v>18</v>
      </c>
      <c r="E243" s="6" t="n">
        <v>27</v>
      </c>
      <c r="F243" s="6" t="n">
        <v>0</v>
      </c>
      <c r="G243" s="6" t="n">
        <v>9</v>
      </c>
      <c r="H243" s="6" t="n">
        <v>0</v>
      </c>
      <c r="I243" s="6" t="n">
        <v>9</v>
      </c>
      <c r="J243" s="6" t="n">
        <v>0</v>
      </c>
      <c r="K243" s="7" t="n">
        <f aca="false">IF(E243+F243=0,"",E243/(E243+F243))</f>
        <v>1</v>
      </c>
      <c r="L243" s="13" t="str">
        <f aca="false">IF(E243+I243&gt;0,"Yes","No")</f>
        <v>Yes</v>
      </c>
      <c r="M243" s="14" t="s">
        <v>506</v>
      </c>
    </row>
    <row r="244" customFormat="false" ht="15" hidden="false" customHeight="false" outlineLevel="0" collapsed="false">
      <c r="A244" s="9" t="n">
        <v>387</v>
      </c>
      <c r="B244" s="9" t="s">
        <v>507</v>
      </c>
      <c r="C244" s="10" t="n">
        <v>16</v>
      </c>
      <c r="D244" s="10" t="n">
        <v>11</v>
      </c>
      <c r="E244" s="10" t="n">
        <v>27</v>
      </c>
      <c r="F244" s="10" t="n">
        <v>0</v>
      </c>
      <c r="G244" s="10" t="n">
        <v>3</v>
      </c>
      <c r="H244" s="10" t="n">
        <v>3</v>
      </c>
      <c r="I244" s="10" t="n">
        <v>6</v>
      </c>
      <c r="J244" s="10" t="n">
        <v>0</v>
      </c>
      <c r="K244" s="11" t="n">
        <f aca="false">IF(E244+F244=0,"",E244/(E244+F244))</f>
        <v>1</v>
      </c>
      <c r="L244" s="9" t="str">
        <f aca="false">IF(E244+I244&gt;0,"Yes","No")</f>
        <v>Yes</v>
      </c>
      <c r="M244" s="12" t="s">
        <v>508</v>
      </c>
    </row>
    <row r="245" customFormat="false" ht="15" hidden="false" customHeight="false" outlineLevel="0" collapsed="false">
      <c r="A245" s="13" t="n">
        <v>356</v>
      </c>
      <c r="B245" s="13" t="s">
        <v>509</v>
      </c>
      <c r="C245" s="6" t="n">
        <v>11</v>
      </c>
      <c r="D245" s="6" t="n">
        <v>16</v>
      </c>
      <c r="E245" s="6" t="n">
        <v>27</v>
      </c>
      <c r="F245" s="6" t="n">
        <v>0</v>
      </c>
      <c r="G245" s="6" t="n">
        <v>0</v>
      </c>
      <c r="H245" s="6" t="n">
        <v>2</v>
      </c>
      <c r="I245" s="6" t="n">
        <v>2</v>
      </c>
      <c r="J245" s="6" t="n">
        <v>0</v>
      </c>
      <c r="K245" s="7" t="n">
        <f aca="false">IF(E245+F245=0,"",E245/(E245+F245))</f>
        <v>1</v>
      </c>
      <c r="L245" s="13" t="str">
        <f aca="false">IF(E245+I245&gt;0,"Yes","No")</f>
        <v>Yes</v>
      </c>
      <c r="M245" s="14" t="s">
        <v>510</v>
      </c>
    </row>
    <row r="246" customFormat="false" ht="15" hidden="false" customHeight="false" outlineLevel="0" collapsed="false">
      <c r="A246" s="9" t="n">
        <v>30</v>
      </c>
      <c r="B246" s="9" t="s">
        <v>511</v>
      </c>
      <c r="C246" s="10" t="n">
        <v>12</v>
      </c>
      <c r="D246" s="10" t="n">
        <v>15</v>
      </c>
      <c r="E246" s="10" t="n">
        <v>27</v>
      </c>
      <c r="F246" s="10" t="n">
        <v>0</v>
      </c>
      <c r="G246" s="10" t="n">
        <v>0</v>
      </c>
      <c r="H246" s="10" t="n">
        <v>1</v>
      </c>
      <c r="I246" s="10" t="n">
        <v>1</v>
      </c>
      <c r="J246" s="10" t="n">
        <v>0</v>
      </c>
      <c r="K246" s="11" t="n">
        <f aca="false">IF(E246+F246=0,"",E246/(E246+F246))</f>
        <v>1</v>
      </c>
      <c r="L246" s="9" t="str">
        <f aca="false">IF(E246+I246&gt;0,"Yes","No")</f>
        <v>Yes</v>
      </c>
      <c r="M246" s="12" t="s">
        <v>512</v>
      </c>
    </row>
    <row r="247" customFormat="false" ht="15" hidden="false" customHeight="false" outlineLevel="0" collapsed="false">
      <c r="A247" s="13" t="n">
        <v>166</v>
      </c>
      <c r="B247" s="13" t="s">
        <v>513</v>
      </c>
      <c r="C247" s="6" t="n">
        <v>17</v>
      </c>
      <c r="D247" s="6" t="n">
        <v>9</v>
      </c>
      <c r="E247" s="6" t="n">
        <v>26</v>
      </c>
      <c r="F247" s="6" t="n">
        <v>0</v>
      </c>
      <c r="G247" s="6" t="n">
        <v>23</v>
      </c>
      <c r="H247" s="6" t="n">
        <v>2</v>
      </c>
      <c r="I247" s="6" t="n">
        <v>25</v>
      </c>
      <c r="J247" s="6" t="n">
        <v>0</v>
      </c>
      <c r="K247" s="7" t="n">
        <f aca="false">IF(E247+F247=0,"",E247/(E247+F247))</f>
        <v>1</v>
      </c>
      <c r="L247" s="13" t="str">
        <f aca="false">IF(E247+I247&gt;0,"Yes","No")</f>
        <v>Yes</v>
      </c>
      <c r="M247" s="14" t="s">
        <v>514</v>
      </c>
    </row>
    <row r="248" customFormat="false" ht="15" hidden="false" customHeight="false" outlineLevel="0" collapsed="false">
      <c r="A248" s="9" t="n">
        <v>385</v>
      </c>
      <c r="B248" s="9" t="s">
        <v>515</v>
      </c>
      <c r="C248" s="10" t="n">
        <v>13</v>
      </c>
      <c r="D248" s="10" t="n">
        <v>13</v>
      </c>
      <c r="E248" s="10" t="n">
        <v>26</v>
      </c>
      <c r="F248" s="10" t="n">
        <v>0</v>
      </c>
      <c r="G248" s="10" t="n">
        <v>5</v>
      </c>
      <c r="H248" s="10" t="n">
        <v>1</v>
      </c>
      <c r="I248" s="10" t="n">
        <v>6</v>
      </c>
      <c r="J248" s="10" t="n">
        <v>0</v>
      </c>
      <c r="K248" s="11" t="n">
        <f aca="false">IF(E248+F248=0,"",E248/(E248+F248))</f>
        <v>1</v>
      </c>
      <c r="L248" s="9" t="str">
        <f aca="false">IF(E248+I248&gt;0,"Yes","No")</f>
        <v>Yes</v>
      </c>
      <c r="M248" s="12" t="s">
        <v>516</v>
      </c>
    </row>
    <row r="249" customFormat="false" ht="15" hidden="false" customHeight="false" outlineLevel="0" collapsed="false">
      <c r="A249" s="13" t="n">
        <v>187</v>
      </c>
      <c r="B249" s="13" t="s">
        <v>517</v>
      </c>
      <c r="C249" s="6" t="n">
        <v>24</v>
      </c>
      <c r="D249" s="6" t="n">
        <v>2</v>
      </c>
      <c r="E249" s="6" t="n">
        <v>26</v>
      </c>
      <c r="F249" s="6" t="n">
        <v>0</v>
      </c>
      <c r="G249" s="6" t="n">
        <v>3</v>
      </c>
      <c r="H249" s="6" t="n">
        <v>1</v>
      </c>
      <c r="I249" s="6" t="n">
        <v>4</v>
      </c>
      <c r="J249" s="6" t="n">
        <v>0</v>
      </c>
      <c r="K249" s="7" t="n">
        <f aca="false">IF(E249+F249=0,"",E249/(E249+F249))</f>
        <v>1</v>
      </c>
      <c r="L249" s="13" t="str">
        <f aca="false">IF(E249+I249&gt;0,"Yes","No")</f>
        <v>Yes</v>
      </c>
      <c r="M249" s="14" t="s">
        <v>518</v>
      </c>
    </row>
    <row r="250" customFormat="false" ht="15" hidden="false" customHeight="false" outlineLevel="0" collapsed="false">
      <c r="A250" s="9" t="n">
        <v>176</v>
      </c>
      <c r="B250" s="9" t="s">
        <v>519</v>
      </c>
      <c r="C250" s="10" t="n">
        <v>12</v>
      </c>
      <c r="D250" s="10" t="n">
        <v>14</v>
      </c>
      <c r="E250" s="10" t="n">
        <v>26</v>
      </c>
      <c r="F250" s="10" t="n">
        <v>1</v>
      </c>
      <c r="G250" s="10" t="n">
        <v>1</v>
      </c>
      <c r="H250" s="10" t="n">
        <v>0</v>
      </c>
      <c r="I250" s="10" t="n">
        <v>1</v>
      </c>
      <c r="J250" s="10" t="n">
        <v>0</v>
      </c>
      <c r="K250" s="11" t="n">
        <f aca="false">IF(E250+F250=0,"",E250/(E250+F250))</f>
        <v>0.962962962962963</v>
      </c>
      <c r="L250" s="9" t="str">
        <f aca="false">IF(E250+I250&gt;0,"Yes","No")</f>
        <v>Yes</v>
      </c>
      <c r="M250" s="12" t="s">
        <v>520</v>
      </c>
    </row>
    <row r="251" customFormat="false" ht="15" hidden="false" customHeight="false" outlineLevel="0" collapsed="false">
      <c r="A251" s="13" t="n">
        <v>363</v>
      </c>
      <c r="B251" s="13" t="s">
        <v>521</v>
      </c>
      <c r="C251" s="6" t="n">
        <v>14</v>
      </c>
      <c r="D251" s="6" t="n">
        <v>11</v>
      </c>
      <c r="E251" s="6" t="n">
        <v>25</v>
      </c>
      <c r="F251" s="6" t="n">
        <v>1</v>
      </c>
      <c r="G251" s="6" t="n">
        <v>6</v>
      </c>
      <c r="H251" s="6" t="n">
        <v>1</v>
      </c>
      <c r="I251" s="6" t="n">
        <v>7</v>
      </c>
      <c r="J251" s="6" t="n">
        <v>1</v>
      </c>
      <c r="K251" s="7" t="n">
        <f aca="false">IF(E251+F251=0,"",E251/(E251+F251))</f>
        <v>0.961538461538462</v>
      </c>
      <c r="L251" s="13" t="str">
        <f aca="false">IF(E251+I251&gt;0,"Yes","No")</f>
        <v>Yes</v>
      </c>
      <c r="M251" s="14" t="s">
        <v>522</v>
      </c>
    </row>
    <row r="252" customFormat="false" ht="15" hidden="false" customHeight="false" outlineLevel="0" collapsed="false">
      <c r="A252" s="9" t="n">
        <v>291</v>
      </c>
      <c r="B252" s="9" t="s">
        <v>523</v>
      </c>
      <c r="C252" s="10" t="n">
        <v>17</v>
      </c>
      <c r="D252" s="10" t="n">
        <v>8</v>
      </c>
      <c r="E252" s="10" t="n">
        <v>25</v>
      </c>
      <c r="F252" s="10" t="n">
        <v>0</v>
      </c>
      <c r="G252" s="10" t="n">
        <v>1</v>
      </c>
      <c r="H252" s="10" t="n">
        <v>5</v>
      </c>
      <c r="I252" s="10" t="n">
        <v>6</v>
      </c>
      <c r="J252" s="10" t="n">
        <v>1</v>
      </c>
      <c r="K252" s="11" t="n">
        <f aca="false">IF(E252+F252=0,"",E252/(E252+F252))</f>
        <v>1</v>
      </c>
      <c r="L252" s="9" t="str">
        <f aca="false">IF(E252+I252&gt;0,"Yes","No")</f>
        <v>Yes</v>
      </c>
      <c r="M252" s="12" t="s">
        <v>524</v>
      </c>
    </row>
    <row r="253" customFormat="false" ht="15" hidden="false" customHeight="false" outlineLevel="0" collapsed="false">
      <c r="A253" s="13" t="n">
        <v>318</v>
      </c>
      <c r="B253" s="13" t="s">
        <v>525</v>
      </c>
      <c r="C253" s="6" t="n">
        <v>17</v>
      </c>
      <c r="D253" s="6" t="n">
        <v>8</v>
      </c>
      <c r="E253" s="6" t="n">
        <v>25</v>
      </c>
      <c r="F253" s="6" t="n">
        <v>0</v>
      </c>
      <c r="G253" s="6" t="n">
        <v>1</v>
      </c>
      <c r="H253" s="6" t="n">
        <v>0</v>
      </c>
      <c r="I253" s="6" t="n">
        <v>1</v>
      </c>
      <c r="J253" s="6" t="n">
        <v>0</v>
      </c>
      <c r="K253" s="7" t="n">
        <f aca="false">IF(E253+F253=0,"",E253/(E253+F253))</f>
        <v>1</v>
      </c>
      <c r="L253" s="13" t="str">
        <f aca="false">IF(E253+I253&gt;0,"Yes","No")</f>
        <v>Yes</v>
      </c>
      <c r="M253" s="14" t="s">
        <v>526</v>
      </c>
    </row>
    <row r="254" customFormat="false" ht="15" hidden="false" customHeight="false" outlineLevel="0" collapsed="false">
      <c r="A254" s="9" t="n">
        <v>426</v>
      </c>
      <c r="B254" s="9" t="s">
        <v>527</v>
      </c>
      <c r="C254" s="10" t="n">
        <v>18</v>
      </c>
      <c r="D254" s="10" t="n">
        <v>7</v>
      </c>
      <c r="E254" s="10" t="n">
        <v>25</v>
      </c>
      <c r="F254" s="10" t="n">
        <v>0</v>
      </c>
      <c r="G254" s="10" t="n">
        <v>1</v>
      </c>
      <c r="H254" s="10" t="n">
        <v>0</v>
      </c>
      <c r="I254" s="10" t="n">
        <v>1</v>
      </c>
      <c r="J254" s="10" t="n">
        <v>0</v>
      </c>
      <c r="K254" s="11" t="n">
        <f aca="false">IF(E254+F254=0,"",E254/(E254+F254))</f>
        <v>1</v>
      </c>
      <c r="L254" s="9" t="str">
        <f aca="false">IF(E254+I254&gt;0,"Yes","No")</f>
        <v>Yes</v>
      </c>
      <c r="M254" s="12" t="s">
        <v>528</v>
      </c>
    </row>
    <row r="255" customFormat="false" ht="15" hidden="false" customHeight="false" outlineLevel="0" collapsed="false">
      <c r="A255" s="13" t="n">
        <v>379</v>
      </c>
      <c r="B255" s="13" t="s">
        <v>529</v>
      </c>
      <c r="C255" s="6" t="n">
        <v>12</v>
      </c>
      <c r="D255" s="6" t="n">
        <v>12</v>
      </c>
      <c r="E255" s="6" t="n">
        <v>24</v>
      </c>
      <c r="F255" s="6" t="n">
        <v>2</v>
      </c>
      <c r="G255" s="6" t="n">
        <v>4</v>
      </c>
      <c r="H255" s="6" t="n">
        <v>9</v>
      </c>
      <c r="I255" s="6" t="n">
        <v>13</v>
      </c>
      <c r="J255" s="6" t="n">
        <v>0</v>
      </c>
      <c r="K255" s="7" t="n">
        <f aca="false">IF(E255+F255=0,"",E255/(E255+F255))</f>
        <v>0.923076923076923</v>
      </c>
      <c r="L255" s="13" t="str">
        <f aca="false">IF(E255+I255&gt;0,"Yes","No")</f>
        <v>Yes</v>
      </c>
      <c r="M255" s="14" t="s">
        <v>530</v>
      </c>
    </row>
    <row r="256" customFormat="false" ht="15" hidden="false" customHeight="false" outlineLevel="0" collapsed="false">
      <c r="A256" s="9" t="n">
        <v>138</v>
      </c>
      <c r="B256" s="9" t="s">
        <v>531</v>
      </c>
      <c r="C256" s="10" t="n">
        <v>14</v>
      </c>
      <c r="D256" s="10" t="n">
        <v>10</v>
      </c>
      <c r="E256" s="10" t="n">
        <v>24</v>
      </c>
      <c r="F256" s="10" t="n">
        <v>0</v>
      </c>
      <c r="G256" s="10" t="n">
        <v>8</v>
      </c>
      <c r="H256" s="10" t="n">
        <v>4</v>
      </c>
      <c r="I256" s="10" t="n">
        <v>12</v>
      </c>
      <c r="J256" s="10" t="n">
        <v>0</v>
      </c>
      <c r="K256" s="11" t="n">
        <f aca="false">IF(E256+F256=0,"",E256/(E256+F256))</f>
        <v>1</v>
      </c>
      <c r="L256" s="9" t="str">
        <f aca="false">IF(E256+I256&gt;0,"Yes","No")</f>
        <v>Yes</v>
      </c>
      <c r="M256" s="12" t="s">
        <v>532</v>
      </c>
    </row>
    <row r="257" customFormat="false" ht="15" hidden="false" customHeight="false" outlineLevel="0" collapsed="false">
      <c r="A257" s="13" t="n">
        <v>119</v>
      </c>
      <c r="B257" s="13" t="s">
        <v>533</v>
      </c>
      <c r="C257" s="6" t="n">
        <v>16</v>
      </c>
      <c r="D257" s="6" t="n">
        <v>8</v>
      </c>
      <c r="E257" s="6" t="n">
        <v>24</v>
      </c>
      <c r="F257" s="6" t="n">
        <v>0</v>
      </c>
      <c r="G257" s="6" t="n">
        <v>4</v>
      </c>
      <c r="H257" s="6" t="n">
        <v>1</v>
      </c>
      <c r="I257" s="6" t="n">
        <v>5</v>
      </c>
      <c r="J257" s="6" t="n">
        <v>0</v>
      </c>
      <c r="K257" s="7" t="n">
        <f aca="false">IF(E257+F257=0,"",E257/(E257+F257))</f>
        <v>1</v>
      </c>
      <c r="L257" s="13" t="str">
        <f aca="false">IF(E257+I257&gt;0,"Yes","No")</f>
        <v>Yes</v>
      </c>
      <c r="M257" s="14" t="s">
        <v>534</v>
      </c>
    </row>
    <row r="258" customFormat="false" ht="15" hidden="false" customHeight="false" outlineLevel="0" collapsed="false">
      <c r="A258" s="9" t="n">
        <v>184</v>
      </c>
      <c r="B258" s="9" t="s">
        <v>535</v>
      </c>
      <c r="C258" s="10" t="n">
        <v>19</v>
      </c>
      <c r="D258" s="10" t="n">
        <v>5</v>
      </c>
      <c r="E258" s="10" t="n">
        <v>24</v>
      </c>
      <c r="F258" s="10" t="n">
        <v>0</v>
      </c>
      <c r="G258" s="10" t="n">
        <v>2</v>
      </c>
      <c r="H258" s="10" t="n">
        <v>1</v>
      </c>
      <c r="I258" s="10" t="n">
        <v>3</v>
      </c>
      <c r="J258" s="10" t="n">
        <v>0</v>
      </c>
      <c r="K258" s="11" t="n">
        <f aca="false">IF(E258+F258=0,"",E258/(E258+F258))</f>
        <v>1</v>
      </c>
      <c r="L258" s="9" t="str">
        <f aca="false">IF(E258+I258&gt;0,"Yes","No")</f>
        <v>Yes</v>
      </c>
      <c r="M258" s="12" t="s">
        <v>536</v>
      </c>
    </row>
    <row r="259" customFormat="false" ht="15" hidden="false" customHeight="false" outlineLevel="0" collapsed="false">
      <c r="A259" s="13" t="n">
        <v>75</v>
      </c>
      <c r="B259" s="13" t="s">
        <v>537</v>
      </c>
      <c r="C259" s="6" t="n">
        <v>8</v>
      </c>
      <c r="D259" s="6" t="n">
        <v>15</v>
      </c>
      <c r="E259" s="6" t="n">
        <v>23</v>
      </c>
      <c r="F259" s="6" t="n">
        <v>0</v>
      </c>
      <c r="G259" s="6" t="n">
        <v>4</v>
      </c>
      <c r="H259" s="6" t="n">
        <v>6</v>
      </c>
      <c r="I259" s="6" t="n">
        <v>10</v>
      </c>
      <c r="J259" s="6" t="n">
        <v>1</v>
      </c>
      <c r="K259" s="7" t="n">
        <f aca="false">IF(E259+F259=0,"",E259/(E259+F259))</f>
        <v>1</v>
      </c>
      <c r="L259" s="13" t="str">
        <f aca="false">IF(E259+I259&gt;0,"Yes","No")</f>
        <v>Yes</v>
      </c>
      <c r="M259" s="14" t="s">
        <v>538</v>
      </c>
    </row>
    <row r="260" customFormat="false" ht="15" hidden="false" customHeight="false" outlineLevel="0" collapsed="false">
      <c r="A260" s="9" t="n">
        <v>151</v>
      </c>
      <c r="B260" s="9" t="s">
        <v>539</v>
      </c>
      <c r="C260" s="10" t="n">
        <v>7</v>
      </c>
      <c r="D260" s="10" t="n">
        <v>16</v>
      </c>
      <c r="E260" s="10" t="n">
        <v>23</v>
      </c>
      <c r="F260" s="10" t="n">
        <v>1</v>
      </c>
      <c r="G260" s="10" t="n">
        <v>1</v>
      </c>
      <c r="H260" s="10" t="n">
        <v>3</v>
      </c>
      <c r="I260" s="10" t="n">
        <v>4</v>
      </c>
      <c r="J260" s="10" t="n">
        <v>0</v>
      </c>
      <c r="K260" s="11" t="n">
        <f aca="false">IF(E260+F260=0,"",E260/(E260+F260))</f>
        <v>0.958333333333333</v>
      </c>
      <c r="L260" s="9" t="str">
        <f aca="false">IF(E260+I260&gt;0,"Yes","No")</f>
        <v>Yes</v>
      </c>
      <c r="M260" s="12" t="s">
        <v>540</v>
      </c>
    </row>
    <row r="261" customFormat="false" ht="15" hidden="false" customHeight="false" outlineLevel="0" collapsed="false">
      <c r="A261" s="13" t="n">
        <v>265</v>
      </c>
      <c r="B261" s="13" t="s">
        <v>541</v>
      </c>
      <c r="C261" s="6" t="n">
        <v>12</v>
      </c>
      <c r="D261" s="6" t="n">
        <v>11</v>
      </c>
      <c r="E261" s="6" t="n">
        <v>23</v>
      </c>
      <c r="F261" s="6" t="n">
        <v>1</v>
      </c>
      <c r="G261" s="6" t="n">
        <v>3</v>
      </c>
      <c r="H261" s="6" t="n">
        <v>1</v>
      </c>
      <c r="I261" s="6" t="n">
        <v>4</v>
      </c>
      <c r="J261" s="6" t="n">
        <v>0</v>
      </c>
      <c r="K261" s="7" t="n">
        <f aca="false">IF(E261+F261=0,"",E261/(E261+F261))</f>
        <v>0.958333333333333</v>
      </c>
      <c r="L261" s="13" t="str">
        <f aca="false">IF(E261+I261&gt;0,"Yes","No")</f>
        <v>Yes</v>
      </c>
      <c r="M261" s="14" t="s">
        <v>542</v>
      </c>
    </row>
    <row r="262" customFormat="false" ht="15" hidden="false" customHeight="false" outlineLevel="0" collapsed="false">
      <c r="A262" s="9" t="n">
        <v>9</v>
      </c>
      <c r="B262" s="9" t="s">
        <v>543</v>
      </c>
      <c r="C262" s="10" t="n">
        <v>21</v>
      </c>
      <c r="D262" s="10" t="n">
        <v>2</v>
      </c>
      <c r="E262" s="10" t="n">
        <v>23</v>
      </c>
      <c r="F262" s="10" t="n">
        <v>0</v>
      </c>
      <c r="G262" s="10" t="n">
        <v>2</v>
      </c>
      <c r="H262" s="10" t="n">
        <v>0</v>
      </c>
      <c r="I262" s="10" t="n">
        <v>2</v>
      </c>
      <c r="J262" s="10" t="n">
        <v>0</v>
      </c>
      <c r="K262" s="11" t="n">
        <f aca="false">IF(E262+F262=0,"",E262/(E262+F262))</f>
        <v>1</v>
      </c>
      <c r="L262" s="9" t="str">
        <f aca="false">IF(E262+I262&gt;0,"Yes","No")</f>
        <v>Yes</v>
      </c>
      <c r="M262" s="12" t="s">
        <v>544</v>
      </c>
    </row>
    <row r="263" customFormat="false" ht="15" hidden="false" customHeight="false" outlineLevel="0" collapsed="false">
      <c r="A263" s="13" t="n">
        <v>62</v>
      </c>
      <c r="B263" s="13" t="s">
        <v>545</v>
      </c>
      <c r="C263" s="6" t="n">
        <v>4</v>
      </c>
      <c r="D263" s="6" t="n">
        <v>19</v>
      </c>
      <c r="E263" s="6" t="n">
        <v>23</v>
      </c>
      <c r="F263" s="6" t="n">
        <v>0</v>
      </c>
      <c r="G263" s="6" t="n">
        <v>0</v>
      </c>
      <c r="H263" s="6" t="n">
        <v>1</v>
      </c>
      <c r="I263" s="6" t="n">
        <v>1</v>
      </c>
      <c r="J263" s="6" t="n">
        <v>0</v>
      </c>
      <c r="K263" s="7" t="n">
        <f aca="false">IF(E263+F263=0,"",E263/(E263+F263))</f>
        <v>1</v>
      </c>
      <c r="L263" s="13" t="str">
        <f aca="false">IF(E263+I263&gt;0,"Yes","No")</f>
        <v>Yes</v>
      </c>
      <c r="M263" s="14" t="s">
        <v>546</v>
      </c>
    </row>
    <row r="264" customFormat="false" ht="15" hidden="false" customHeight="false" outlineLevel="0" collapsed="false">
      <c r="A264" s="9" t="n">
        <v>402</v>
      </c>
      <c r="B264" s="9" t="s">
        <v>547</v>
      </c>
      <c r="C264" s="10" t="n">
        <v>14</v>
      </c>
      <c r="D264" s="10" t="n">
        <v>8</v>
      </c>
      <c r="E264" s="10" t="n">
        <v>22</v>
      </c>
      <c r="F264" s="10" t="n">
        <v>0</v>
      </c>
      <c r="G264" s="10" t="n">
        <v>7</v>
      </c>
      <c r="H264" s="10" t="n">
        <v>2</v>
      </c>
      <c r="I264" s="10" t="n">
        <v>9</v>
      </c>
      <c r="J264" s="10" t="n">
        <v>0</v>
      </c>
      <c r="K264" s="11" t="n">
        <f aca="false">IF(E264+F264=0,"",E264/(E264+F264))</f>
        <v>1</v>
      </c>
      <c r="L264" s="9" t="str">
        <f aca="false">IF(E264+I264&gt;0,"Yes","No")</f>
        <v>Yes</v>
      </c>
      <c r="M264" s="12" t="s">
        <v>548</v>
      </c>
    </row>
    <row r="265" customFormat="false" ht="15" hidden="false" customHeight="false" outlineLevel="0" collapsed="false">
      <c r="A265" s="13" t="n">
        <v>198</v>
      </c>
      <c r="B265" s="13" t="s">
        <v>549</v>
      </c>
      <c r="C265" s="6" t="n">
        <v>8</v>
      </c>
      <c r="D265" s="6" t="n">
        <v>14</v>
      </c>
      <c r="E265" s="6" t="n">
        <v>22</v>
      </c>
      <c r="F265" s="6" t="n">
        <v>1</v>
      </c>
      <c r="G265" s="6" t="n">
        <v>2</v>
      </c>
      <c r="H265" s="6" t="n">
        <v>6</v>
      </c>
      <c r="I265" s="6" t="n">
        <v>8</v>
      </c>
      <c r="J265" s="6" t="n">
        <v>0</v>
      </c>
      <c r="K265" s="7" t="n">
        <f aca="false">IF(E265+F265=0,"",E265/(E265+F265))</f>
        <v>0.956521739130435</v>
      </c>
      <c r="L265" s="13" t="str">
        <f aca="false">IF(E265+I265&gt;0,"Yes","No")</f>
        <v>Yes</v>
      </c>
      <c r="M265" s="14" t="s">
        <v>550</v>
      </c>
    </row>
    <row r="266" customFormat="false" ht="15" hidden="false" customHeight="false" outlineLevel="0" collapsed="false">
      <c r="A266" s="9" t="n">
        <v>168</v>
      </c>
      <c r="B266" s="9" t="s">
        <v>551</v>
      </c>
      <c r="C266" s="10" t="n">
        <v>11</v>
      </c>
      <c r="D266" s="10" t="n">
        <v>11</v>
      </c>
      <c r="E266" s="10" t="n">
        <v>22</v>
      </c>
      <c r="F266" s="10" t="n">
        <v>0</v>
      </c>
      <c r="G266" s="10" t="n">
        <v>4</v>
      </c>
      <c r="H266" s="10" t="n">
        <v>3</v>
      </c>
      <c r="I266" s="10" t="n">
        <v>7</v>
      </c>
      <c r="J266" s="10" t="n">
        <v>0</v>
      </c>
      <c r="K266" s="11" t="n">
        <f aca="false">IF(E266+F266=0,"",E266/(E266+F266))</f>
        <v>1</v>
      </c>
      <c r="L266" s="9" t="str">
        <f aca="false">IF(E266+I266&gt;0,"Yes","No")</f>
        <v>Yes</v>
      </c>
      <c r="M266" s="12" t="s">
        <v>552</v>
      </c>
    </row>
    <row r="267" customFormat="false" ht="15" hidden="false" customHeight="false" outlineLevel="0" collapsed="false">
      <c r="A267" s="13" t="n">
        <v>461</v>
      </c>
      <c r="B267" s="13" t="s">
        <v>553</v>
      </c>
      <c r="C267" s="6" t="n">
        <v>11</v>
      </c>
      <c r="D267" s="6" t="n">
        <v>11</v>
      </c>
      <c r="E267" s="6" t="n">
        <v>22</v>
      </c>
      <c r="F267" s="6" t="n">
        <v>1</v>
      </c>
      <c r="G267" s="6" t="n">
        <v>4</v>
      </c>
      <c r="H267" s="6" t="n">
        <v>1</v>
      </c>
      <c r="I267" s="6" t="n">
        <v>5</v>
      </c>
      <c r="J267" s="6" t="n">
        <v>0</v>
      </c>
      <c r="K267" s="7" t="n">
        <f aca="false">IF(E267+F267=0,"",E267/(E267+F267))</f>
        <v>0.956521739130435</v>
      </c>
      <c r="L267" s="13" t="str">
        <f aca="false">IF(E267+I267&gt;0,"Yes","No")</f>
        <v>Yes</v>
      </c>
      <c r="M267" s="14" t="s">
        <v>554</v>
      </c>
    </row>
    <row r="268" customFormat="false" ht="15" hidden="false" customHeight="false" outlineLevel="0" collapsed="false">
      <c r="A268" s="9" t="n">
        <v>422</v>
      </c>
      <c r="B268" s="9" t="s">
        <v>555</v>
      </c>
      <c r="C268" s="10" t="n">
        <v>12</v>
      </c>
      <c r="D268" s="10" t="n">
        <v>10</v>
      </c>
      <c r="E268" s="10" t="n">
        <v>22</v>
      </c>
      <c r="F268" s="10" t="n">
        <v>0</v>
      </c>
      <c r="G268" s="10" t="n">
        <v>2</v>
      </c>
      <c r="H268" s="10" t="n">
        <v>1</v>
      </c>
      <c r="I268" s="10" t="n">
        <v>3</v>
      </c>
      <c r="J268" s="10" t="n">
        <v>0</v>
      </c>
      <c r="K268" s="11" t="n">
        <f aca="false">IF(E268+F268=0,"",E268/(E268+F268))</f>
        <v>1</v>
      </c>
      <c r="L268" s="9" t="str">
        <f aca="false">IF(E268+I268&gt;0,"Yes","No")</f>
        <v>Yes</v>
      </c>
      <c r="M268" s="12" t="s">
        <v>556</v>
      </c>
    </row>
    <row r="269" customFormat="false" ht="15" hidden="false" customHeight="false" outlineLevel="0" collapsed="false">
      <c r="A269" s="13" t="n">
        <v>7</v>
      </c>
      <c r="B269" s="13" t="s">
        <v>557</v>
      </c>
      <c r="C269" s="6" t="n">
        <v>14</v>
      </c>
      <c r="D269" s="6" t="n">
        <v>7</v>
      </c>
      <c r="E269" s="6" t="n">
        <v>21</v>
      </c>
      <c r="F269" s="6" t="n">
        <v>0</v>
      </c>
      <c r="G269" s="6" t="n">
        <v>7</v>
      </c>
      <c r="H269" s="6" t="n">
        <v>1</v>
      </c>
      <c r="I269" s="6" t="n">
        <v>8</v>
      </c>
      <c r="J269" s="6" t="n">
        <v>0</v>
      </c>
      <c r="K269" s="7" t="n">
        <f aca="false">IF(E269+F269=0,"",E269/(E269+F269))</f>
        <v>1</v>
      </c>
      <c r="L269" s="13" t="str">
        <f aca="false">IF(E269+I269&gt;0,"Yes","No")</f>
        <v>Yes</v>
      </c>
      <c r="M269" s="14" t="s">
        <v>558</v>
      </c>
    </row>
    <row r="270" customFormat="false" ht="15" hidden="false" customHeight="false" outlineLevel="0" collapsed="false">
      <c r="A270" s="9" t="n">
        <v>87</v>
      </c>
      <c r="B270" s="9" t="s">
        <v>559</v>
      </c>
      <c r="C270" s="10" t="n">
        <v>14</v>
      </c>
      <c r="D270" s="10" t="n">
        <v>7</v>
      </c>
      <c r="E270" s="10" t="n">
        <v>21</v>
      </c>
      <c r="F270" s="10" t="n">
        <v>0</v>
      </c>
      <c r="G270" s="10" t="n">
        <v>5</v>
      </c>
      <c r="H270" s="10" t="n">
        <v>1</v>
      </c>
      <c r="I270" s="10" t="n">
        <v>6</v>
      </c>
      <c r="J270" s="10" t="n">
        <v>0</v>
      </c>
      <c r="K270" s="11" t="n">
        <f aca="false">IF(E270+F270=0,"",E270/(E270+F270))</f>
        <v>1</v>
      </c>
      <c r="L270" s="9" t="str">
        <f aca="false">IF(E270+I270&gt;0,"Yes","No")</f>
        <v>Yes</v>
      </c>
      <c r="M270" s="12" t="s">
        <v>560</v>
      </c>
    </row>
    <row r="271" customFormat="false" ht="15" hidden="false" customHeight="false" outlineLevel="0" collapsed="false">
      <c r="A271" s="13" t="n">
        <v>93</v>
      </c>
      <c r="B271" s="13" t="s">
        <v>561</v>
      </c>
      <c r="C271" s="6" t="n">
        <v>11</v>
      </c>
      <c r="D271" s="6" t="n">
        <v>10</v>
      </c>
      <c r="E271" s="6" t="n">
        <v>21</v>
      </c>
      <c r="F271" s="6" t="n">
        <v>0</v>
      </c>
      <c r="G271" s="6" t="n">
        <v>0</v>
      </c>
      <c r="H271" s="6" t="n">
        <v>1</v>
      </c>
      <c r="I271" s="6" t="n">
        <v>1</v>
      </c>
      <c r="J271" s="6" t="n">
        <v>0</v>
      </c>
      <c r="K271" s="7" t="n">
        <f aca="false">IF(E271+F271=0,"",E271/(E271+F271))</f>
        <v>1</v>
      </c>
      <c r="L271" s="13" t="str">
        <f aca="false">IF(E271+I271&gt;0,"Yes","No")</f>
        <v>Yes</v>
      </c>
      <c r="M271" s="14" t="s">
        <v>562</v>
      </c>
    </row>
    <row r="272" customFormat="false" ht="15" hidden="false" customHeight="false" outlineLevel="0" collapsed="false">
      <c r="A272" s="9" t="n">
        <v>53</v>
      </c>
      <c r="B272" s="9" t="s">
        <v>563</v>
      </c>
      <c r="C272" s="10" t="n">
        <v>10</v>
      </c>
      <c r="D272" s="10" t="n">
        <v>10</v>
      </c>
      <c r="E272" s="10" t="n">
        <v>20</v>
      </c>
      <c r="F272" s="10" t="n">
        <v>0</v>
      </c>
      <c r="G272" s="10" t="n">
        <v>2</v>
      </c>
      <c r="H272" s="10" t="n">
        <v>1</v>
      </c>
      <c r="I272" s="10" t="n">
        <v>3</v>
      </c>
      <c r="J272" s="10" t="n">
        <v>0</v>
      </c>
      <c r="K272" s="11" t="n">
        <f aca="false">IF(E272+F272=0,"",E272/(E272+F272))</f>
        <v>1</v>
      </c>
      <c r="L272" s="9" t="str">
        <f aca="false">IF(E272+I272&gt;0,"Yes","No")</f>
        <v>Yes</v>
      </c>
      <c r="M272" s="12" t="s">
        <v>564</v>
      </c>
    </row>
    <row r="273" customFormat="false" ht="15" hidden="false" customHeight="false" outlineLevel="0" collapsed="false">
      <c r="A273" s="13" t="n">
        <v>454</v>
      </c>
      <c r="B273" s="13" t="s">
        <v>565</v>
      </c>
      <c r="C273" s="6" t="n">
        <v>8</v>
      </c>
      <c r="D273" s="6" t="n">
        <v>11</v>
      </c>
      <c r="E273" s="6" t="n">
        <v>19</v>
      </c>
      <c r="F273" s="6" t="n">
        <v>1</v>
      </c>
      <c r="G273" s="6" t="n">
        <v>8</v>
      </c>
      <c r="H273" s="6" t="n">
        <v>2</v>
      </c>
      <c r="I273" s="6" t="n">
        <v>10</v>
      </c>
      <c r="J273" s="6" t="n">
        <v>0</v>
      </c>
      <c r="K273" s="7" t="n">
        <f aca="false">IF(E273+F273=0,"",E273/(E273+F273))</f>
        <v>0.95</v>
      </c>
      <c r="L273" s="13" t="str">
        <f aca="false">IF(E273+I273&gt;0,"Yes","No")</f>
        <v>Yes</v>
      </c>
      <c r="M273" s="14" t="s">
        <v>566</v>
      </c>
    </row>
    <row r="274" customFormat="false" ht="15" hidden="false" customHeight="false" outlineLevel="0" collapsed="false">
      <c r="A274" s="9" t="n">
        <v>285</v>
      </c>
      <c r="B274" s="9" t="s">
        <v>567</v>
      </c>
      <c r="C274" s="10" t="n">
        <v>6</v>
      </c>
      <c r="D274" s="10" t="n">
        <v>13</v>
      </c>
      <c r="E274" s="10" t="n">
        <v>19</v>
      </c>
      <c r="F274" s="10" t="n">
        <v>0</v>
      </c>
      <c r="G274" s="10" t="n">
        <v>6</v>
      </c>
      <c r="H274" s="10" t="n">
        <v>2</v>
      </c>
      <c r="I274" s="10" t="n">
        <v>8</v>
      </c>
      <c r="J274" s="10" t="n">
        <v>0</v>
      </c>
      <c r="K274" s="11" t="n">
        <f aca="false">IF(E274+F274=0,"",E274/(E274+F274))</f>
        <v>1</v>
      </c>
      <c r="L274" s="9" t="str">
        <f aca="false">IF(E274+I274&gt;0,"Yes","No")</f>
        <v>Yes</v>
      </c>
      <c r="M274" s="12" t="s">
        <v>568</v>
      </c>
    </row>
    <row r="275" customFormat="false" ht="15" hidden="false" customHeight="false" outlineLevel="0" collapsed="false">
      <c r="A275" s="13" t="n">
        <v>213</v>
      </c>
      <c r="B275" s="13" t="s">
        <v>569</v>
      </c>
      <c r="C275" s="6" t="n">
        <v>6</v>
      </c>
      <c r="D275" s="6" t="n">
        <v>13</v>
      </c>
      <c r="E275" s="6" t="n">
        <v>19</v>
      </c>
      <c r="F275" s="6" t="n">
        <v>0</v>
      </c>
      <c r="G275" s="6" t="n">
        <v>2</v>
      </c>
      <c r="H275" s="6" t="n">
        <v>4</v>
      </c>
      <c r="I275" s="6" t="n">
        <v>6</v>
      </c>
      <c r="J275" s="6" t="n">
        <v>0</v>
      </c>
      <c r="K275" s="7" t="n">
        <f aca="false">IF(E275+F275=0,"",E275/(E275+F275))</f>
        <v>1</v>
      </c>
      <c r="L275" s="13" t="str">
        <f aca="false">IF(E275+I275&gt;0,"Yes","No")</f>
        <v>Yes</v>
      </c>
      <c r="M275" s="14" t="s">
        <v>570</v>
      </c>
    </row>
    <row r="276" customFormat="false" ht="15" hidden="false" customHeight="false" outlineLevel="0" collapsed="false">
      <c r="A276" s="9" t="n">
        <v>443</v>
      </c>
      <c r="B276" s="9" t="s">
        <v>571</v>
      </c>
      <c r="C276" s="10" t="n">
        <v>9</v>
      </c>
      <c r="D276" s="10" t="n">
        <v>10</v>
      </c>
      <c r="E276" s="10" t="n">
        <v>19</v>
      </c>
      <c r="F276" s="10" t="n">
        <v>0</v>
      </c>
      <c r="G276" s="10" t="n">
        <v>3</v>
      </c>
      <c r="H276" s="10" t="n">
        <v>2</v>
      </c>
      <c r="I276" s="10" t="n">
        <v>5</v>
      </c>
      <c r="J276" s="10" t="n">
        <v>1</v>
      </c>
      <c r="K276" s="11" t="n">
        <f aca="false">IF(E276+F276=0,"",E276/(E276+F276))</f>
        <v>1</v>
      </c>
      <c r="L276" s="9" t="str">
        <f aca="false">IF(E276+I276&gt;0,"Yes","No")</f>
        <v>Yes</v>
      </c>
      <c r="M276" s="12" t="s">
        <v>572</v>
      </c>
    </row>
    <row r="277" customFormat="false" ht="15" hidden="false" customHeight="false" outlineLevel="0" collapsed="false">
      <c r="A277" s="13" t="n">
        <v>316</v>
      </c>
      <c r="B277" s="13" t="s">
        <v>573</v>
      </c>
      <c r="C277" s="6" t="n">
        <v>11</v>
      </c>
      <c r="D277" s="6" t="n">
        <v>8</v>
      </c>
      <c r="E277" s="6" t="n">
        <v>19</v>
      </c>
      <c r="F277" s="6" t="n">
        <v>0</v>
      </c>
      <c r="G277" s="6" t="n">
        <v>1</v>
      </c>
      <c r="H277" s="6" t="n">
        <v>3</v>
      </c>
      <c r="I277" s="6" t="n">
        <v>4</v>
      </c>
      <c r="J277" s="6" t="n">
        <v>0</v>
      </c>
      <c r="K277" s="7" t="n">
        <f aca="false">IF(E277+F277=0,"",E277/(E277+F277))</f>
        <v>1</v>
      </c>
      <c r="L277" s="13" t="str">
        <f aca="false">IF(E277+I277&gt;0,"Yes","No")</f>
        <v>Yes</v>
      </c>
      <c r="M277" s="14" t="s">
        <v>574</v>
      </c>
    </row>
    <row r="278" customFormat="false" ht="15" hidden="false" customHeight="false" outlineLevel="0" collapsed="false">
      <c r="A278" s="9" t="n">
        <v>215</v>
      </c>
      <c r="B278" s="9" t="s">
        <v>575</v>
      </c>
      <c r="C278" s="10" t="n">
        <v>9</v>
      </c>
      <c r="D278" s="10" t="n">
        <v>10</v>
      </c>
      <c r="E278" s="10" t="n">
        <v>19</v>
      </c>
      <c r="F278" s="10" t="n">
        <v>0</v>
      </c>
      <c r="G278" s="10" t="n">
        <v>2</v>
      </c>
      <c r="H278" s="10" t="n">
        <v>1</v>
      </c>
      <c r="I278" s="10" t="n">
        <v>3</v>
      </c>
      <c r="J278" s="10" t="n">
        <v>0</v>
      </c>
      <c r="K278" s="11" t="n">
        <f aca="false">IF(E278+F278=0,"",E278/(E278+F278))</f>
        <v>1</v>
      </c>
      <c r="L278" s="9" t="str">
        <f aca="false">IF(E278+I278&gt;0,"Yes","No")</f>
        <v>Yes</v>
      </c>
      <c r="M278" s="12" t="s">
        <v>576</v>
      </c>
    </row>
    <row r="279" customFormat="false" ht="15" hidden="false" customHeight="false" outlineLevel="0" collapsed="false">
      <c r="A279" s="13" t="n">
        <v>115</v>
      </c>
      <c r="B279" s="13" t="s">
        <v>577</v>
      </c>
      <c r="C279" s="6" t="n">
        <v>12</v>
      </c>
      <c r="D279" s="6" t="n">
        <v>6</v>
      </c>
      <c r="E279" s="6" t="n">
        <v>18</v>
      </c>
      <c r="F279" s="6" t="n">
        <v>1</v>
      </c>
      <c r="G279" s="6" t="n">
        <v>8</v>
      </c>
      <c r="H279" s="6" t="n">
        <v>1</v>
      </c>
      <c r="I279" s="6" t="n">
        <v>9</v>
      </c>
      <c r="J279" s="6" t="n">
        <v>0</v>
      </c>
      <c r="K279" s="7" t="n">
        <f aca="false">IF(E279+F279=0,"",E279/(E279+F279))</f>
        <v>0.947368421052632</v>
      </c>
      <c r="L279" s="13" t="str">
        <f aca="false">IF(E279+I279&gt;0,"Yes","No")</f>
        <v>Yes</v>
      </c>
      <c r="M279" s="14" t="s">
        <v>578</v>
      </c>
    </row>
    <row r="280" customFormat="false" ht="15" hidden="false" customHeight="false" outlineLevel="0" collapsed="false">
      <c r="A280" s="9" t="n">
        <v>162</v>
      </c>
      <c r="B280" s="9" t="s">
        <v>579</v>
      </c>
      <c r="C280" s="10" t="n">
        <v>11</v>
      </c>
      <c r="D280" s="10" t="n">
        <v>7</v>
      </c>
      <c r="E280" s="10" t="n">
        <v>18</v>
      </c>
      <c r="F280" s="10" t="n">
        <v>0</v>
      </c>
      <c r="G280" s="10" t="n">
        <v>4</v>
      </c>
      <c r="H280" s="10" t="n">
        <v>2</v>
      </c>
      <c r="I280" s="10" t="n">
        <v>6</v>
      </c>
      <c r="J280" s="10" t="n">
        <v>0</v>
      </c>
      <c r="K280" s="11" t="n">
        <f aca="false">IF(E280+F280=0,"",E280/(E280+F280))</f>
        <v>1</v>
      </c>
      <c r="L280" s="9" t="str">
        <f aca="false">IF(E280+I280&gt;0,"Yes","No")</f>
        <v>Yes</v>
      </c>
      <c r="M280" s="12" t="s">
        <v>580</v>
      </c>
    </row>
    <row r="281" customFormat="false" ht="15" hidden="false" customHeight="false" outlineLevel="0" collapsed="false">
      <c r="A281" s="13" t="n">
        <v>190</v>
      </c>
      <c r="B281" s="13" t="s">
        <v>581</v>
      </c>
      <c r="C281" s="6" t="n">
        <v>7</v>
      </c>
      <c r="D281" s="6" t="n">
        <v>11</v>
      </c>
      <c r="E281" s="6" t="n">
        <v>18</v>
      </c>
      <c r="F281" s="6" t="n">
        <v>0</v>
      </c>
      <c r="G281" s="6" t="n">
        <v>1</v>
      </c>
      <c r="H281" s="6" t="n">
        <v>1</v>
      </c>
      <c r="I281" s="6" t="n">
        <v>2</v>
      </c>
      <c r="J281" s="6" t="n">
        <v>0</v>
      </c>
      <c r="K281" s="7" t="n">
        <f aca="false">IF(E281+F281=0,"",E281/(E281+F281))</f>
        <v>1</v>
      </c>
      <c r="L281" s="13" t="str">
        <f aca="false">IF(E281+I281&gt;0,"Yes","No")</f>
        <v>Yes</v>
      </c>
      <c r="M281" s="14" t="s">
        <v>582</v>
      </c>
    </row>
    <row r="282" customFormat="false" ht="15" hidden="false" customHeight="false" outlineLevel="0" collapsed="false">
      <c r="A282" s="9" t="n">
        <v>185</v>
      </c>
      <c r="B282" s="9" t="s">
        <v>583</v>
      </c>
      <c r="C282" s="10" t="n">
        <v>7</v>
      </c>
      <c r="D282" s="10" t="n">
        <v>10</v>
      </c>
      <c r="E282" s="10" t="n">
        <v>17</v>
      </c>
      <c r="F282" s="10" t="n">
        <v>0</v>
      </c>
      <c r="G282" s="10" t="n">
        <v>4</v>
      </c>
      <c r="H282" s="10" t="n">
        <v>1</v>
      </c>
      <c r="I282" s="10" t="n">
        <v>5</v>
      </c>
      <c r="J282" s="10" t="n">
        <v>0</v>
      </c>
      <c r="K282" s="11" t="n">
        <f aca="false">IF(E282+F282=0,"",E282/(E282+F282))</f>
        <v>1</v>
      </c>
      <c r="L282" s="9" t="str">
        <f aca="false">IF(E282+I282&gt;0,"Yes","No")</f>
        <v>Yes</v>
      </c>
      <c r="M282" s="12" t="s">
        <v>584</v>
      </c>
    </row>
    <row r="283" customFormat="false" ht="15" hidden="false" customHeight="false" outlineLevel="0" collapsed="false">
      <c r="A283" s="13" t="n">
        <v>453</v>
      </c>
      <c r="B283" s="13" t="s">
        <v>585</v>
      </c>
      <c r="C283" s="6" t="n">
        <v>2</v>
      </c>
      <c r="D283" s="6" t="n">
        <v>15</v>
      </c>
      <c r="E283" s="6" t="n">
        <v>17</v>
      </c>
      <c r="F283" s="6" t="n">
        <v>0</v>
      </c>
      <c r="G283" s="6" t="n">
        <v>1</v>
      </c>
      <c r="H283" s="6" t="n">
        <v>3</v>
      </c>
      <c r="I283" s="6" t="n">
        <v>4</v>
      </c>
      <c r="J283" s="6" t="n">
        <v>0</v>
      </c>
      <c r="K283" s="7" t="n">
        <f aca="false">IF(E283+F283=0,"",E283/(E283+F283))</f>
        <v>1</v>
      </c>
      <c r="L283" s="13" t="str">
        <f aca="false">IF(E283+I283&gt;0,"Yes","No")</f>
        <v>Yes</v>
      </c>
      <c r="M283" s="14" t="s">
        <v>586</v>
      </c>
    </row>
    <row r="284" customFormat="false" ht="15" hidden="false" customHeight="false" outlineLevel="0" collapsed="false">
      <c r="A284" s="9" t="n">
        <v>266</v>
      </c>
      <c r="B284" s="9" t="s">
        <v>587</v>
      </c>
      <c r="C284" s="10" t="n">
        <v>17</v>
      </c>
      <c r="D284" s="10" t="n">
        <v>0</v>
      </c>
      <c r="E284" s="10" t="n">
        <v>17</v>
      </c>
      <c r="F284" s="10" t="n">
        <v>0</v>
      </c>
      <c r="G284" s="10" t="n">
        <v>2</v>
      </c>
      <c r="H284" s="10" t="n">
        <v>1</v>
      </c>
      <c r="I284" s="10" t="n">
        <v>3</v>
      </c>
      <c r="J284" s="10" t="n">
        <v>0</v>
      </c>
      <c r="K284" s="11" t="n">
        <f aca="false">IF(E284+F284=0,"",E284/(E284+F284))</f>
        <v>1</v>
      </c>
      <c r="L284" s="9" t="str">
        <f aca="false">IF(E284+I284&gt;0,"Yes","No")</f>
        <v>Yes</v>
      </c>
      <c r="M284" s="12" t="s">
        <v>588</v>
      </c>
    </row>
    <row r="285" customFormat="false" ht="15" hidden="false" customHeight="false" outlineLevel="0" collapsed="false">
      <c r="A285" s="13" t="n">
        <v>31</v>
      </c>
      <c r="B285" s="13" t="s">
        <v>589</v>
      </c>
      <c r="C285" s="6" t="n">
        <v>11</v>
      </c>
      <c r="D285" s="6" t="n">
        <v>6</v>
      </c>
      <c r="E285" s="6" t="n">
        <v>17</v>
      </c>
      <c r="F285" s="6" t="n">
        <v>0</v>
      </c>
      <c r="G285" s="6" t="n">
        <v>0</v>
      </c>
      <c r="H285" s="6" t="n">
        <v>1</v>
      </c>
      <c r="I285" s="6" t="n">
        <v>1</v>
      </c>
      <c r="J285" s="6" t="n">
        <v>0</v>
      </c>
      <c r="K285" s="7" t="n">
        <f aca="false">IF(E285+F285=0,"",E285/(E285+F285))</f>
        <v>1</v>
      </c>
      <c r="L285" s="13" t="str">
        <f aca="false">IF(E285+I285&gt;0,"Yes","No")</f>
        <v>Yes</v>
      </c>
      <c r="M285" s="14" t="s">
        <v>590</v>
      </c>
    </row>
    <row r="286" customFormat="false" ht="15" hidden="false" customHeight="false" outlineLevel="0" collapsed="false">
      <c r="A286" s="9" t="n">
        <v>125</v>
      </c>
      <c r="B286" s="9" t="s">
        <v>591</v>
      </c>
      <c r="C286" s="10" t="n">
        <v>16</v>
      </c>
      <c r="D286" s="10" t="n">
        <v>0</v>
      </c>
      <c r="E286" s="10" t="n">
        <v>16</v>
      </c>
      <c r="F286" s="10" t="n">
        <v>1</v>
      </c>
      <c r="G286" s="10" t="n">
        <v>6</v>
      </c>
      <c r="H286" s="10" t="n">
        <v>2</v>
      </c>
      <c r="I286" s="10" t="n">
        <v>8</v>
      </c>
      <c r="J286" s="10" t="n">
        <v>1</v>
      </c>
      <c r="K286" s="11" t="n">
        <f aca="false">IF(E286+F286=0,"",E286/(E286+F286))</f>
        <v>0.941176470588235</v>
      </c>
      <c r="L286" s="9" t="str">
        <f aca="false">IF(E286+I286&gt;0,"Yes","No")</f>
        <v>Yes</v>
      </c>
      <c r="M286" s="12" t="s">
        <v>592</v>
      </c>
    </row>
    <row r="287" customFormat="false" ht="15" hidden="false" customHeight="false" outlineLevel="0" collapsed="false">
      <c r="A287" s="13" t="n">
        <v>427</v>
      </c>
      <c r="B287" s="13" t="s">
        <v>593</v>
      </c>
      <c r="C287" s="6" t="n">
        <v>9</v>
      </c>
      <c r="D287" s="6" t="n">
        <v>7</v>
      </c>
      <c r="E287" s="6" t="n">
        <v>16</v>
      </c>
      <c r="F287" s="6" t="n">
        <v>0</v>
      </c>
      <c r="G287" s="6" t="n">
        <v>3</v>
      </c>
      <c r="H287" s="6" t="n">
        <v>5</v>
      </c>
      <c r="I287" s="6" t="n">
        <v>8</v>
      </c>
      <c r="J287" s="6" t="n">
        <v>1</v>
      </c>
      <c r="K287" s="7" t="n">
        <f aca="false">IF(E287+F287=0,"",E287/(E287+F287))</f>
        <v>1</v>
      </c>
      <c r="L287" s="13" t="str">
        <f aca="false">IF(E287+I287&gt;0,"Yes","No")</f>
        <v>Yes</v>
      </c>
      <c r="M287" s="14" t="s">
        <v>594</v>
      </c>
    </row>
    <row r="288" customFormat="false" ht="15" hidden="false" customHeight="false" outlineLevel="0" collapsed="false">
      <c r="A288" s="9" t="n">
        <v>234</v>
      </c>
      <c r="B288" s="9" t="s">
        <v>595</v>
      </c>
      <c r="C288" s="10" t="n">
        <v>6</v>
      </c>
      <c r="D288" s="10" t="n">
        <v>10</v>
      </c>
      <c r="E288" s="10" t="n">
        <v>16</v>
      </c>
      <c r="F288" s="10" t="n">
        <v>0</v>
      </c>
      <c r="G288" s="10" t="n">
        <v>6</v>
      </c>
      <c r="H288" s="10" t="n">
        <v>1</v>
      </c>
      <c r="I288" s="10" t="n">
        <v>7</v>
      </c>
      <c r="J288" s="10" t="n">
        <v>0</v>
      </c>
      <c r="K288" s="11" t="n">
        <f aca="false">IF(E288+F288=0,"",E288/(E288+F288))</f>
        <v>1</v>
      </c>
      <c r="L288" s="9" t="str">
        <f aca="false">IF(E288+I288&gt;0,"Yes","No")</f>
        <v>Yes</v>
      </c>
      <c r="M288" s="12" t="s">
        <v>596</v>
      </c>
    </row>
    <row r="289" customFormat="false" ht="15" hidden="false" customHeight="false" outlineLevel="0" collapsed="false">
      <c r="A289" s="13" t="n">
        <v>445</v>
      </c>
      <c r="B289" s="13" t="s">
        <v>597</v>
      </c>
      <c r="C289" s="6" t="n">
        <v>5</v>
      </c>
      <c r="D289" s="6" t="n">
        <v>11</v>
      </c>
      <c r="E289" s="6" t="n">
        <v>16</v>
      </c>
      <c r="F289" s="6" t="n">
        <v>1</v>
      </c>
      <c r="G289" s="6" t="n">
        <v>2</v>
      </c>
      <c r="H289" s="6" t="n">
        <v>4</v>
      </c>
      <c r="I289" s="6" t="n">
        <v>6</v>
      </c>
      <c r="J289" s="6" t="n">
        <v>0</v>
      </c>
      <c r="K289" s="7" t="n">
        <f aca="false">IF(E289+F289=0,"",E289/(E289+F289))</f>
        <v>0.941176470588235</v>
      </c>
      <c r="L289" s="13" t="str">
        <f aca="false">IF(E289+I289&gt;0,"Yes","No")</f>
        <v>Yes</v>
      </c>
      <c r="M289" s="14" t="s">
        <v>598</v>
      </c>
    </row>
    <row r="290" customFormat="false" ht="15" hidden="false" customHeight="false" outlineLevel="0" collapsed="false">
      <c r="A290" s="9" t="n">
        <v>405</v>
      </c>
      <c r="B290" s="9" t="s">
        <v>599</v>
      </c>
      <c r="C290" s="10" t="n">
        <v>6</v>
      </c>
      <c r="D290" s="10" t="n">
        <v>10</v>
      </c>
      <c r="E290" s="10" t="n">
        <v>16</v>
      </c>
      <c r="F290" s="10" t="n">
        <v>0</v>
      </c>
      <c r="G290" s="10" t="n">
        <v>1</v>
      </c>
      <c r="H290" s="10" t="n">
        <v>2</v>
      </c>
      <c r="I290" s="10" t="n">
        <v>3</v>
      </c>
      <c r="J290" s="10" t="n">
        <v>0</v>
      </c>
      <c r="K290" s="11" t="n">
        <f aca="false">IF(E290+F290=0,"",E290/(E290+F290))</f>
        <v>1</v>
      </c>
      <c r="L290" s="9" t="str">
        <f aca="false">IF(E290+I290&gt;0,"Yes","No")</f>
        <v>Yes</v>
      </c>
      <c r="M290" s="12" t="s">
        <v>600</v>
      </c>
    </row>
    <row r="291" customFormat="false" ht="15" hidden="false" customHeight="false" outlineLevel="0" collapsed="false">
      <c r="A291" s="13" t="n">
        <v>417</v>
      </c>
      <c r="B291" s="13" t="s">
        <v>601</v>
      </c>
      <c r="C291" s="6" t="n">
        <v>16</v>
      </c>
      <c r="D291" s="6" t="n">
        <v>0</v>
      </c>
      <c r="E291" s="6" t="n">
        <v>16</v>
      </c>
      <c r="F291" s="6" t="n">
        <v>1</v>
      </c>
      <c r="G291" s="6" t="n">
        <v>3</v>
      </c>
      <c r="H291" s="6" t="n">
        <v>0</v>
      </c>
      <c r="I291" s="6" t="n">
        <v>3</v>
      </c>
      <c r="J291" s="6" t="n">
        <v>0</v>
      </c>
      <c r="K291" s="7" t="n">
        <f aca="false">IF(E291+F291=0,"",E291/(E291+F291))</f>
        <v>0.941176470588235</v>
      </c>
      <c r="L291" s="13" t="str">
        <f aca="false">IF(E291+I291&gt;0,"Yes","No")</f>
        <v>Yes</v>
      </c>
      <c r="M291" s="14" t="s">
        <v>602</v>
      </c>
    </row>
    <row r="292" customFormat="false" ht="15" hidden="false" customHeight="false" outlineLevel="0" collapsed="false">
      <c r="A292" s="9" t="n">
        <v>172</v>
      </c>
      <c r="B292" s="9" t="s">
        <v>603</v>
      </c>
      <c r="C292" s="10" t="n">
        <v>10</v>
      </c>
      <c r="D292" s="10" t="n">
        <v>6</v>
      </c>
      <c r="E292" s="10" t="n">
        <v>16</v>
      </c>
      <c r="F292" s="10" t="n">
        <v>1</v>
      </c>
      <c r="G292" s="10" t="n">
        <v>2</v>
      </c>
      <c r="H292" s="10" t="n">
        <v>0</v>
      </c>
      <c r="I292" s="10" t="n">
        <v>2</v>
      </c>
      <c r="J292" s="10" t="n">
        <v>0</v>
      </c>
      <c r="K292" s="11" t="n">
        <f aca="false">IF(E292+F292=0,"",E292/(E292+F292))</f>
        <v>0.941176470588235</v>
      </c>
      <c r="L292" s="9" t="str">
        <f aca="false">IF(E292+I292&gt;0,"Yes","No")</f>
        <v>Yes</v>
      </c>
      <c r="M292" s="12" t="s">
        <v>604</v>
      </c>
    </row>
    <row r="293" customFormat="false" ht="15" hidden="false" customHeight="false" outlineLevel="0" collapsed="false">
      <c r="A293" s="13" t="n">
        <v>259</v>
      </c>
      <c r="B293" s="13" t="s">
        <v>605</v>
      </c>
      <c r="C293" s="6" t="n">
        <v>14</v>
      </c>
      <c r="D293" s="6" t="n">
        <v>2</v>
      </c>
      <c r="E293" s="6" t="n">
        <v>16</v>
      </c>
      <c r="F293" s="6" t="n">
        <v>0</v>
      </c>
      <c r="G293" s="6" t="n">
        <v>2</v>
      </c>
      <c r="H293" s="6" t="n">
        <v>0</v>
      </c>
      <c r="I293" s="6" t="n">
        <v>2</v>
      </c>
      <c r="J293" s="6" t="n">
        <v>0</v>
      </c>
      <c r="K293" s="7" t="n">
        <f aca="false">IF(E293+F293=0,"",E293/(E293+F293))</f>
        <v>1</v>
      </c>
      <c r="L293" s="13" t="str">
        <f aca="false">IF(E293+I293&gt;0,"Yes","No")</f>
        <v>Yes</v>
      </c>
      <c r="M293" s="14" t="s">
        <v>606</v>
      </c>
    </row>
    <row r="294" customFormat="false" ht="15" hidden="false" customHeight="false" outlineLevel="0" collapsed="false">
      <c r="A294" s="9" t="n">
        <v>306</v>
      </c>
      <c r="B294" s="9" t="s">
        <v>607</v>
      </c>
      <c r="C294" s="10" t="n">
        <v>10</v>
      </c>
      <c r="D294" s="10" t="n">
        <v>6</v>
      </c>
      <c r="E294" s="10" t="n">
        <v>16</v>
      </c>
      <c r="F294" s="10" t="n">
        <v>0</v>
      </c>
      <c r="G294" s="10" t="n">
        <v>1</v>
      </c>
      <c r="H294" s="10" t="n">
        <v>0</v>
      </c>
      <c r="I294" s="10" t="n">
        <v>1</v>
      </c>
      <c r="J294" s="10" t="n">
        <v>0</v>
      </c>
      <c r="K294" s="11" t="n">
        <f aca="false">IF(E294+F294=0,"",E294/(E294+F294))</f>
        <v>1</v>
      </c>
      <c r="L294" s="9" t="str">
        <f aca="false">IF(E294+I294&gt;0,"Yes","No")</f>
        <v>Yes</v>
      </c>
      <c r="M294" s="12" t="s">
        <v>608</v>
      </c>
    </row>
    <row r="295" customFormat="false" ht="15" hidden="false" customHeight="false" outlineLevel="0" collapsed="false">
      <c r="A295" s="13" t="n">
        <v>434</v>
      </c>
      <c r="B295" s="13" t="s">
        <v>609</v>
      </c>
      <c r="C295" s="6" t="n">
        <v>6</v>
      </c>
      <c r="D295" s="6" t="n">
        <v>10</v>
      </c>
      <c r="E295" s="6" t="n">
        <v>16</v>
      </c>
      <c r="F295" s="6" t="n">
        <v>0</v>
      </c>
      <c r="G295" s="6" t="n">
        <v>0</v>
      </c>
      <c r="H295" s="6" t="n">
        <v>0</v>
      </c>
      <c r="I295" s="6" t="n">
        <v>0</v>
      </c>
      <c r="J295" s="6" t="n">
        <v>1</v>
      </c>
      <c r="K295" s="7" t="n">
        <f aca="false">IF(E295+F295=0,"",E295/(E295+F295))</f>
        <v>1</v>
      </c>
      <c r="L295" s="13" t="str">
        <f aca="false">IF(E295+I295&gt;0,"Yes","No")</f>
        <v>Yes</v>
      </c>
      <c r="M295" s="14" t="s">
        <v>610</v>
      </c>
    </row>
    <row r="296" customFormat="false" ht="15" hidden="false" customHeight="false" outlineLevel="0" collapsed="false">
      <c r="A296" s="9" t="n">
        <v>359</v>
      </c>
      <c r="B296" s="9" t="s">
        <v>611</v>
      </c>
      <c r="C296" s="10" t="n">
        <v>5</v>
      </c>
      <c r="D296" s="10" t="n">
        <v>10</v>
      </c>
      <c r="E296" s="10" t="n">
        <v>15</v>
      </c>
      <c r="F296" s="10" t="n">
        <v>0</v>
      </c>
      <c r="G296" s="10" t="n">
        <v>4</v>
      </c>
      <c r="H296" s="10" t="n">
        <v>4</v>
      </c>
      <c r="I296" s="10" t="n">
        <v>8</v>
      </c>
      <c r="J296" s="10" t="n">
        <v>0</v>
      </c>
      <c r="K296" s="11" t="n">
        <f aca="false">IF(E296+F296=0,"",E296/(E296+F296))</f>
        <v>1</v>
      </c>
      <c r="L296" s="9" t="str">
        <f aca="false">IF(E296+I296&gt;0,"Yes","No")</f>
        <v>Yes</v>
      </c>
      <c r="M296" s="12" t="s">
        <v>612</v>
      </c>
    </row>
    <row r="297" customFormat="false" ht="15" hidden="false" customHeight="false" outlineLevel="0" collapsed="false">
      <c r="A297" s="13" t="n">
        <v>378</v>
      </c>
      <c r="B297" s="13" t="s">
        <v>613</v>
      </c>
      <c r="C297" s="6" t="n">
        <v>8</v>
      </c>
      <c r="D297" s="6" t="n">
        <v>7</v>
      </c>
      <c r="E297" s="6" t="n">
        <v>15</v>
      </c>
      <c r="F297" s="6" t="n">
        <v>0</v>
      </c>
      <c r="G297" s="6" t="n">
        <v>2</v>
      </c>
      <c r="H297" s="6" t="n">
        <v>6</v>
      </c>
      <c r="I297" s="6" t="n">
        <v>8</v>
      </c>
      <c r="J297" s="6" t="n">
        <v>0</v>
      </c>
      <c r="K297" s="7" t="n">
        <f aca="false">IF(E297+F297=0,"",E297/(E297+F297))</f>
        <v>1</v>
      </c>
      <c r="L297" s="13" t="str">
        <f aca="false">IF(E297+I297&gt;0,"Yes","No")</f>
        <v>Yes</v>
      </c>
      <c r="M297" s="14" t="s">
        <v>614</v>
      </c>
    </row>
    <row r="298" customFormat="false" ht="15" hidden="false" customHeight="false" outlineLevel="0" collapsed="false">
      <c r="A298" s="9" t="n">
        <v>399</v>
      </c>
      <c r="B298" s="9" t="s">
        <v>615</v>
      </c>
      <c r="C298" s="10" t="n">
        <v>3</v>
      </c>
      <c r="D298" s="10" t="n">
        <v>12</v>
      </c>
      <c r="E298" s="10" t="n">
        <v>15</v>
      </c>
      <c r="F298" s="10" t="n">
        <v>0</v>
      </c>
      <c r="G298" s="10" t="n">
        <v>0</v>
      </c>
      <c r="H298" s="10" t="n">
        <v>4</v>
      </c>
      <c r="I298" s="10" t="n">
        <v>4</v>
      </c>
      <c r="J298" s="10" t="n">
        <v>0</v>
      </c>
      <c r="K298" s="11" t="n">
        <f aca="false">IF(E298+F298=0,"",E298/(E298+F298))</f>
        <v>1</v>
      </c>
      <c r="L298" s="9" t="str">
        <f aca="false">IF(E298+I298&gt;0,"Yes","No")</f>
        <v>Yes</v>
      </c>
      <c r="M298" s="12" t="s">
        <v>616</v>
      </c>
    </row>
    <row r="299" customFormat="false" ht="15" hidden="false" customHeight="false" outlineLevel="0" collapsed="false">
      <c r="A299" s="13" t="n">
        <v>71</v>
      </c>
      <c r="B299" s="13" t="s">
        <v>617</v>
      </c>
      <c r="C299" s="6" t="n">
        <v>5</v>
      </c>
      <c r="D299" s="6" t="n">
        <v>10</v>
      </c>
      <c r="E299" s="6" t="n">
        <v>15</v>
      </c>
      <c r="F299" s="6" t="n">
        <v>0</v>
      </c>
      <c r="G299" s="6" t="n">
        <v>2</v>
      </c>
      <c r="H299" s="6" t="n">
        <v>1</v>
      </c>
      <c r="I299" s="6" t="n">
        <v>3</v>
      </c>
      <c r="J299" s="6" t="n">
        <v>0</v>
      </c>
      <c r="K299" s="7" t="n">
        <f aca="false">IF(E299+F299=0,"",E299/(E299+F299))</f>
        <v>1</v>
      </c>
      <c r="L299" s="13" t="str">
        <f aca="false">IF(E299+I299&gt;0,"Yes","No")</f>
        <v>Yes</v>
      </c>
      <c r="M299" s="14" t="s">
        <v>618</v>
      </c>
    </row>
    <row r="300" customFormat="false" ht="15" hidden="false" customHeight="false" outlineLevel="0" collapsed="false">
      <c r="A300" s="9" t="n">
        <v>39</v>
      </c>
      <c r="B300" s="9" t="s">
        <v>619</v>
      </c>
      <c r="C300" s="10" t="n">
        <v>14</v>
      </c>
      <c r="D300" s="10" t="n">
        <v>1</v>
      </c>
      <c r="E300" s="10" t="n">
        <v>15</v>
      </c>
      <c r="F300" s="10" t="n">
        <v>0</v>
      </c>
      <c r="G300" s="10" t="n">
        <v>0</v>
      </c>
      <c r="H300" s="10" t="n">
        <v>2</v>
      </c>
      <c r="I300" s="10" t="n">
        <v>2</v>
      </c>
      <c r="J300" s="10" t="n">
        <v>0</v>
      </c>
      <c r="K300" s="11" t="n">
        <f aca="false">IF(E300+F300=0,"",E300/(E300+F300))</f>
        <v>1</v>
      </c>
      <c r="L300" s="9" t="str">
        <f aca="false">IF(E300+I300&gt;0,"Yes","No")</f>
        <v>Yes</v>
      </c>
      <c r="M300" s="12" t="s">
        <v>620</v>
      </c>
    </row>
    <row r="301" customFormat="false" ht="15" hidden="false" customHeight="false" outlineLevel="0" collapsed="false">
      <c r="A301" s="13" t="n">
        <v>383</v>
      </c>
      <c r="B301" s="13" t="s">
        <v>621</v>
      </c>
      <c r="C301" s="6" t="n">
        <v>7</v>
      </c>
      <c r="D301" s="6" t="n">
        <v>8</v>
      </c>
      <c r="E301" s="6" t="n">
        <v>15</v>
      </c>
      <c r="F301" s="6" t="n">
        <v>0</v>
      </c>
      <c r="G301" s="6" t="n">
        <v>0</v>
      </c>
      <c r="H301" s="6" t="n">
        <v>0</v>
      </c>
      <c r="I301" s="6" t="n">
        <v>0</v>
      </c>
      <c r="J301" s="6" t="n">
        <v>0</v>
      </c>
      <c r="K301" s="7" t="n">
        <f aca="false">IF(E301+F301=0,"",E301/(E301+F301))</f>
        <v>1</v>
      </c>
      <c r="L301" s="13" t="str">
        <f aca="false">IF(E301+I301&gt;0,"Yes","No")</f>
        <v>Yes</v>
      </c>
      <c r="M301" s="14" t="s">
        <v>622</v>
      </c>
    </row>
    <row r="302" customFormat="false" ht="15" hidden="false" customHeight="false" outlineLevel="0" collapsed="false">
      <c r="A302" s="9" t="n">
        <v>146</v>
      </c>
      <c r="B302" s="9" t="s">
        <v>623</v>
      </c>
      <c r="C302" s="10" t="n">
        <v>11</v>
      </c>
      <c r="D302" s="10" t="n">
        <v>3</v>
      </c>
      <c r="E302" s="10" t="n">
        <v>14</v>
      </c>
      <c r="F302" s="10" t="n">
        <v>0</v>
      </c>
      <c r="G302" s="10" t="n">
        <v>11</v>
      </c>
      <c r="H302" s="10" t="n">
        <v>2</v>
      </c>
      <c r="I302" s="10" t="n">
        <v>13</v>
      </c>
      <c r="J302" s="10" t="n">
        <v>0</v>
      </c>
      <c r="K302" s="11" t="n">
        <f aca="false">IF(E302+F302=0,"",E302/(E302+F302))</f>
        <v>1</v>
      </c>
      <c r="L302" s="9" t="str">
        <f aca="false">IF(E302+I302&gt;0,"Yes","No")</f>
        <v>Yes</v>
      </c>
      <c r="M302" s="12" t="s">
        <v>624</v>
      </c>
    </row>
    <row r="303" customFormat="false" ht="15" hidden="false" customHeight="false" outlineLevel="0" collapsed="false">
      <c r="A303" s="13" t="n">
        <v>357</v>
      </c>
      <c r="B303" s="13" t="s">
        <v>625</v>
      </c>
      <c r="C303" s="6" t="n">
        <v>11</v>
      </c>
      <c r="D303" s="6" t="n">
        <v>3</v>
      </c>
      <c r="E303" s="6" t="n">
        <v>14</v>
      </c>
      <c r="F303" s="6" t="n">
        <v>0</v>
      </c>
      <c r="G303" s="6" t="n">
        <v>5</v>
      </c>
      <c r="H303" s="6" t="n">
        <v>3</v>
      </c>
      <c r="I303" s="6" t="n">
        <v>8</v>
      </c>
      <c r="J303" s="6" t="n">
        <v>0</v>
      </c>
      <c r="K303" s="7" t="n">
        <f aca="false">IF(E303+F303=0,"",E303/(E303+F303))</f>
        <v>1</v>
      </c>
      <c r="L303" s="13" t="str">
        <f aca="false">IF(E303+I303&gt;0,"Yes","No")</f>
        <v>Yes</v>
      </c>
      <c r="M303" s="14" t="s">
        <v>626</v>
      </c>
    </row>
    <row r="304" customFormat="false" ht="15" hidden="false" customHeight="false" outlineLevel="0" collapsed="false">
      <c r="A304" s="9" t="n">
        <v>447</v>
      </c>
      <c r="B304" s="9" t="s">
        <v>627</v>
      </c>
      <c r="C304" s="10" t="n">
        <v>8</v>
      </c>
      <c r="D304" s="10" t="n">
        <v>6</v>
      </c>
      <c r="E304" s="10" t="n">
        <v>14</v>
      </c>
      <c r="F304" s="10" t="n">
        <v>0</v>
      </c>
      <c r="G304" s="10" t="n">
        <v>5</v>
      </c>
      <c r="H304" s="10" t="n">
        <v>1</v>
      </c>
      <c r="I304" s="10" t="n">
        <v>6</v>
      </c>
      <c r="J304" s="10" t="n">
        <v>0</v>
      </c>
      <c r="K304" s="11" t="n">
        <f aca="false">IF(E304+F304=0,"",E304/(E304+F304))</f>
        <v>1</v>
      </c>
      <c r="L304" s="9" t="str">
        <f aca="false">IF(E304+I304&gt;0,"Yes","No")</f>
        <v>Yes</v>
      </c>
      <c r="M304" s="12" t="s">
        <v>628</v>
      </c>
    </row>
    <row r="305" customFormat="false" ht="15" hidden="false" customHeight="false" outlineLevel="0" collapsed="false">
      <c r="A305" s="13" t="n">
        <v>362</v>
      </c>
      <c r="B305" s="13" t="s">
        <v>629</v>
      </c>
      <c r="C305" s="6" t="n">
        <v>9</v>
      </c>
      <c r="D305" s="6" t="n">
        <v>5</v>
      </c>
      <c r="E305" s="6" t="n">
        <v>14</v>
      </c>
      <c r="F305" s="6" t="n">
        <v>0</v>
      </c>
      <c r="G305" s="6" t="n">
        <v>3</v>
      </c>
      <c r="H305" s="6" t="n">
        <v>0</v>
      </c>
      <c r="I305" s="6" t="n">
        <v>3</v>
      </c>
      <c r="J305" s="6" t="n">
        <v>0</v>
      </c>
      <c r="K305" s="7" t="n">
        <f aca="false">IF(E305+F305=0,"",E305/(E305+F305))</f>
        <v>1</v>
      </c>
      <c r="L305" s="13" t="str">
        <f aca="false">IF(E305+I305&gt;0,"Yes","No")</f>
        <v>Yes</v>
      </c>
      <c r="M305" s="14" t="s">
        <v>630</v>
      </c>
    </row>
    <row r="306" customFormat="false" ht="15" hidden="false" customHeight="false" outlineLevel="0" collapsed="false">
      <c r="A306" s="9" t="n">
        <v>91</v>
      </c>
      <c r="B306" s="9" t="s">
        <v>631</v>
      </c>
      <c r="C306" s="10" t="n">
        <v>12</v>
      </c>
      <c r="D306" s="10" t="n">
        <v>2</v>
      </c>
      <c r="E306" s="10" t="n">
        <v>14</v>
      </c>
      <c r="F306" s="10" t="n">
        <v>0</v>
      </c>
      <c r="G306" s="10" t="n">
        <v>0</v>
      </c>
      <c r="H306" s="10" t="n">
        <v>1</v>
      </c>
      <c r="I306" s="10" t="n">
        <v>1</v>
      </c>
      <c r="J306" s="10" t="n">
        <v>0</v>
      </c>
      <c r="K306" s="11" t="n">
        <f aca="false">IF(E306+F306=0,"",E306/(E306+F306))</f>
        <v>1</v>
      </c>
      <c r="L306" s="9" t="str">
        <f aca="false">IF(E306+I306&gt;0,"Yes","No")</f>
        <v>Yes</v>
      </c>
      <c r="M306" s="12" t="s">
        <v>632</v>
      </c>
    </row>
    <row r="307" customFormat="false" ht="15" hidden="false" customHeight="false" outlineLevel="0" collapsed="false">
      <c r="A307" s="13" t="n">
        <v>252</v>
      </c>
      <c r="B307" s="13" t="s">
        <v>633</v>
      </c>
      <c r="C307" s="6" t="n">
        <v>6</v>
      </c>
      <c r="D307" s="6" t="n">
        <v>8</v>
      </c>
      <c r="E307" s="6" t="n">
        <v>14</v>
      </c>
      <c r="F307" s="6" t="n">
        <v>0</v>
      </c>
      <c r="G307" s="6" t="n">
        <v>0</v>
      </c>
      <c r="H307" s="6" t="n">
        <v>0</v>
      </c>
      <c r="I307" s="6" t="n">
        <v>0</v>
      </c>
      <c r="J307" s="6" t="n">
        <v>0</v>
      </c>
      <c r="K307" s="7" t="n">
        <f aca="false">IF(E307+F307=0,"",E307/(E307+F307))</f>
        <v>1</v>
      </c>
      <c r="L307" s="13" t="str">
        <f aca="false">IF(E307+I307&gt;0,"Yes","No")</f>
        <v>Yes</v>
      </c>
      <c r="M307" s="14" t="s">
        <v>634</v>
      </c>
    </row>
    <row r="308" customFormat="false" ht="15" hidden="false" customHeight="false" outlineLevel="0" collapsed="false">
      <c r="A308" s="9" t="n">
        <v>298</v>
      </c>
      <c r="B308" s="9" t="s">
        <v>635</v>
      </c>
      <c r="C308" s="10" t="n">
        <v>3</v>
      </c>
      <c r="D308" s="10" t="n">
        <v>10</v>
      </c>
      <c r="E308" s="10" t="n">
        <v>13</v>
      </c>
      <c r="F308" s="10" t="n">
        <v>0</v>
      </c>
      <c r="G308" s="10" t="n">
        <v>7</v>
      </c>
      <c r="H308" s="10" t="n">
        <v>2</v>
      </c>
      <c r="I308" s="10" t="n">
        <v>9</v>
      </c>
      <c r="J308" s="10" t="n">
        <v>0</v>
      </c>
      <c r="K308" s="11" t="n">
        <f aca="false">IF(E308+F308=0,"",E308/(E308+F308))</f>
        <v>1</v>
      </c>
      <c r="L308" s="9" t="str">
        <f aca="false">IF(E308+I308&gt;0,"Yes","No")</f>
        <v>Yes</v>
      </c>
      <c r="M308" s="12" t="s">
        <v>636</v>
      </c>
    </row>
    <row r="309" customFormat="false" ht="15" hidden="false" customHeight="false" outlineLevel="0" collapsed="false">
      <c r="A309" s="13" t="n">
        <v>300</v>
      </c>
      <c r="B309" s="13" t="s">
        <v>637</v>
      </c>
      <c r="C309" s="6" t="n">
        <v>3</v>
      </c>
      <c r="D309" s="6" t="n">
        <v>10</v>
      </c>
      <c r="E309" s="6" t="n">
        <v>13</v>
      </c>
      <c r="F309" s="6" t="n">
        <v>0</v>
      </c>
      <c r="G309" s="6" t="n">
        <v>2</v>
      </c>
      <c r="H309" s="6" t="n">
        <v>3</v>
      </c>
      <c r="I309" s="6" t="n">
        <v>5</v>
      </c>
      <c r="J309" s="6" t="n">
        <v>0</v>
      </c>
      <c r="K309" s="7" t="n">
        <f aca="false">IF(E309+F309=0,"",E309/(E309+F309))</f>
        <v>1</v>
      </c>
      <c r="L309" s="13" t="str">
        <f aca="false">IF(E309+I309&gt;0,"Yes","No")</f>
        <v>Yes</v>
      </c>
      <c r="M309" s="14" t="s">
        <v>638</v>
      </c>
    </row>
    <row r="310" customFormat="false" ht="15" hidden="false" customHeight="false" outlineLevel="0" collapsed="false">
      <c r="A310" s="9" t="n">
        <v>113</v>
      </c>
      <c r="B310" s="9" t="s">
        <v>639</v>
      </c>
      <c r="C310" s="10" t="n">
        <v>6</v>
      </c>
      <c r="D310" s="10" t="n">
        <v>7</v>
      </c>
      <c r="E310" s="10" t="n">
        <v>13</v>
      </c>
      <c r="F310" s="10" t="n">
        <v>0</v>
      </c>
      <c r="G310" s="10" t="n">
        <v>2</v>
      </c>
      <c r="H310" s="10" t="n">
        <v>2</v>
      </c>
      <c r="I310" s="10" t="n">
        <v>4</v>
      </c>
      <c r="J310" s="10" t="n">
        <v>0</v>
      </c>
      <c r="K310" s="11" t="n">
        <f aca="false">IF(E310+F310=0,"",E310/(E310+F310))</f>
        <v>1</v>
      </c>
      <c r="L310" s="9" t="str">
        <f aca="false">IF(E310+I310&gt;0,"Yes","No")</f>
        <v>Yes</v>
      </c>
      <c r="M310" s="12" t="s">
        <v>640</v>
      </c>
    </row>
    <row r="311" customFormat="false" ht="15" hidden="false" customHeight="false" outlineLevel="0" collapsed="false">
      <c r="A311" s="13" t="n">
        <v>353</v>
      </c>
      <c r="B311" s="13" t="s">
        <v>641</v>
      </c>
      <c r="C311" s="6" t="n">
        <v>5</v>
      </c>
      <c r="D311" s="6" t="n">
        <v>8</v>
      </c>
      <c r="E311" s="6" t="n">
        <v>13</v>
      </c>
      <c r="F311" s="6" t="n">
        <v>0</v>
      </c>
      <c r="G311" s="6" t="n">
        <v>1</v>
      </c>
      <c r="H311" s="6" t="n">
        <v>1</v>
      </c>
      <c r="I311" s="6" t="n">
        <v>2</v>
      </c>
      <c r="J311" s="6" t="n">
        <v>0</v>
      </c>
      <c r="K311" s="7" t="n">
        <f aca="false">IF(E311+F311=0,"",E311/(E311+F311))</f>
        <v>1</v>
      </c>
      <c r="L311" s="13" t="str">
        <f aca="false">IF(E311+I311&gt;0,"Yes","No")</f>
        <v>Yes</v>
      </c>
      <c r="M311" s="14" t="s">
        <v>642</v>
      </c>
    </row>
    <row r="312" customFormat="false" ht="15" hidden="false" customHeight="false" outlineLevel="0" collapsed="false">
      <c r="A312" s="9" t="n">
        <v>29</v>
      </c>
      <c r="B312" s="9" t="s">
        <v>643</v>
      </c>
      <c r="C312" s="10" t="n">
        <v>4</v>
      </c>
      <c r="D312" s="10" t="n">
        <v>9</v>
      </c>
      <c r="E312" s="10" t="n">
        <v>13</v>
      </c>
      <c r="F312" s="10" t="n">
        <v>0</v>
      </c>
      <c r="G312" s="10" t="n">
        <v>0</v>
      </c>
      <c r="H312" s="10" t="n">
        <v>1</v>
      </c>
      <c r="I312" s="10" t="n">
        <v>1</v>
      </c>
      <c r="J312" s="10" t="n">
        <v>0</v>
      </c>
      <c r="K312" s="11" t="n">
        <f aca="false">IF(E312+F312=0,"",E312/(E312+F312))</f>
        <v>1</v>
      </c>
      <c r="L312" s="9" t="str">
        <f aca="false">IF(E312+I312&gt;0,"Yes","No")</f>
        <v>Yes</v>
      </c>
      <c r="M312" s="12" t="s">
        <v>644</v>
      </c>
    </row>
    <row r="313" customFormat="false" ht="15" hidden="false" customHeight="false" outlineLevel="0" collapsed="false">
      <c r="A313" s="13" t="n">
        <v>392</v>
      </c>
      <c r="B313" s="13" t="s">
        <v>645</v>
      </c>
      <c r="C313" s="6" t="n">
        <v>6</v>
      </c>
      <c r="D313" s="6" t="n">
        <v>7</v>
      </c>
      <c r="E313" s="6" t="n">
        <v>13</v>
      </c>
      <c r="F313" s="6" t="n">
        <v>0</v>
      </c>
      <c r="G313" s="6" t="n">
        <v>0</v>
      </c>
      <c r="H313" s="6" t="n">
        <v>1</v>
      </c>
      <c r="I313" s="6" t="n">
        <v>1</v>
      </c>
      <c r="J313" s="6" t="n">
        <v>0</v>
      </c>
      <c r="K313" s="7" t="n">
        <f aca="false">IF(E313+F313=0,"",E313/(E313+F313))</f>
        <v>1</v>
      </c>
      <c r="L313" s="13" t="str">
        <f aca="false">IF(E313+I313&gt;0,"Yes","No")</f>
        <v>Yes</v>
      </c>
      <c r="M313" s="14" t="s">
        <v>646</v>
      </c>
    </row>
    <row r="314" customFormat="false" ht="15" hidden="false" customHeight="false" outlineLevel="0" collapsed="false">
      <c r="A314" s="9" t="n">
        <v>72</v>
      </c>
      <c r="B314" s="9" t="s">
        <v>647</v>
      </c>
      <c r="C314" s="10" t="n">
        <v>11</v>
      </c>
      <c r="D314" s="10" t="n">
        <v>2</v>
      </c>
      <c r="E314" s="10" t="n">
        <v>13</v>
      </c>
      <c r="F314" s="10" t="n">
        <v>0</v>
      </c>
      <c r="G314" s="10" t="n">
        <v>0</v>
      </c>
      <c r="H314" s="10" t="n">
        <v>0</v>
      </c>
      <c r="I314" s="10" t="n">
        <v>0</v>
      </c>
      <c r="J314" s="10" t="n">
        <v>0</v>
      </c>
      <c r="K314" s="11" t="n">
        <f aca="false">IF(E314+F314=0,"",E314/(E314+F314))</f>
        <v>1</v>
      </c>
      <c r="L314" s="9" t="str">
        <f aca="false">IF(E314+I314&gt;0,"Yes","No")</f>
        <v>Yes</v>
      </c>
      <c r="M314" s="12" t="s">
        <v>648</v>
      </c>
    </row>
    <row r="315" customFormat="false" ht="15" hidden="false" customHeight="false" outlineLevel="0" collapsed="false">
      <c r="A315" s="13" t="n">
        <v>471</v>
      </c>
      <c r="B315" s="13" t="s">
        <v>649</v>
      </c>
      <c r="C315" s="6" t="n">
        <v>5</v>
      </c>
      <c r="D315" s="6" t="n">
        <v>7</v>
      </c>
      <c r="E315" s="6" t="n">
        <v>12</v>
      </c>
      <c r="F315" s="6" t="n">
        <v>0</v>
      </c>
      <c r="G315" s="6" t="n">
        <v>4</v>
      </c>
      <c r="H315" s="6" t="n">
        <v>0</v>
      </c>
      <c r="I315" s="6" t="n">
        <v>4</v>
      </c>
      <c r="J315" s="6" t="n">
        <v>1</v>
      </c>
      <c r="K315" s="7" t="n">
        <f aca="false">IF(E315+F315=0,"",E315/(E315+F315))</f>
        <v>1</v>
      </c>
      <c r="L315" s="13" t="str">
        <f aca="false">IF(E315+I315&gt;0,"Yes","No")</f>
        <v>Yes</v>
      </c>
      <c r="M315" s="14" t="s">
        <v>650</v>
      </c>
    </row>
    <row r="316" customFormat="false" ht="15" hidden="false" customHeight="false" outlineLevel="0" collapsed="false">
      <c r="A316" s="9" t="n">
        <v>241</v>
      </c>
      <c r="B316" s="9" t="s">
        <v>651</v>
      </c>
      <c r="C316" s="10" t="n">
        <v>4</v>
      </c>
      <c r="D316" s="10" t="n">
        <v>8</v>
      </c>
      <c r="E316" s="10" t="n">
        <v>12</v>
      </c>
      <c r="F316" s="10" t="n">
        <v>0</v>
      </c>
      <c r="G316" s="10" t="n">
        <v>1</v>
      </c>
      <c r="H316" s="10" t="n">
        <v>2</v>
      </c>
      <c r="I316" s="10" t="n">
        <v>3</v>
      </c>
      <c r="J316" s="10" t="n">
        <v>0</v>
      </c>
      <c r="K316" s="11" t="n">
        <f aca="false">IF(E316+F316=0,"",E316/(E316+F316))</f>
        <v>1</v>
      </c>
      <c r="L316" s="9" t="str">
        <f aca="false">IF(E316+I316&gt;0,"Yes","No")</f>
        <v>Yes</v>
      </c>
      <c r="M316" s="12" t="s">
        <v>652</v>
      </c>
    </row>
    <row r="317" customFormat="false" ht="15" hidden="false" customHeight="false" outlineLevel="0" collapsed="false">
      <c r="A317" s="13" t="n">
        <v>229</v>
      </c>
      <c r="B317" s="13" t="s">
        <v>653</v>
      </c>
      <c r="C317" s="6" t="n">
        <v>9</v>
      </c>
      <c r="D317" s="6" t="n">
        <v>3</v>
      </c>
      <c r="E317" s="6" t="n">
        <v>12</v>
      </c>
      <c r="F317" s="6" t="n">
        <v>0</v>
      </c>
      <c r="G317" s="6" t="n">
        <v>2</v>
      </c>
      <c r="H317" s="6" t="n">
        <v>0</v>
      </c>
      <c r="I317" s="6" t="n">
        <v>2</v>
      </c>
      <c r="J317" s="6" t="n">
        <v>0</v>
      </c>
      <c r="K317" s="7" t="n">
        <f aca="false">IF(E317+F317=0,"",E317/(E317+F317))</f>
        <v>1</v>
      </c>
      <c r="L317" s="13" t="str">
        <f aca="false">IF(E317+I317&gt;0,"Yes","No")</f>
        <v>Yes</v>
      </c>
      <c r="M317" s="14" t="s">
        <v>654</v>
      </c>
    </row>
    <row r="318" customFormat="false" ht="15" hidden="false" customHeight="false" outlineLevel="0" collapsed="false">
      <c r="A318" s="9" t="n">
        <v>349</v>
      </c>
      <c r="B318" s="9" t="s">
        <v>655</v>
      </c>
      <c r="C318" s="10" t="n">
        <v>2</v>
      </c>
      <c r="D318" s="10" t="n">
        <v>10</v>
      </c>
      <c r="E318" s="10" t="n">
        <v>12</v>
      </c>
      <c r="F318" s="10" t="n">
        <v>0</v>
      </c>
      <c r="G318" s="10" t="n">
        <v>1</v>
      </c>
      <c r="H318" s="10" t="n">
        <v>1</v>
      </c>
      <c r="I318" s="10" t="n">
        <v>2</v>
      </c>
      <c r="J318" s="10" t="n">
        <v>0</v>
      </c>
      <c r="K318" s="11" t="n">
        <f aca="false">IF(E318+F318=0,"",E318/(E318+F318))</f>
        <v>1</v>
      </c>
      <c r="L318" s="9" t="str">
        <f aca="false">IF(E318+I318&gt;0,"Yes","No")</f>
        <v>Yes</v>
      </c>
      <c r="M318" s="12" t="s">
        <v>656</v>
      </c>
    </row>
    <row r="319" customFormat="false" ht="15" hidden="false" customHeight="false" outlineLevel="0" collapsed="false">
      <c r="A319" s="13" t="n">
        <v>233</v>
      </c>
      <c r="B319" s="13" t="s">
        <v>657</v>
      </c>
      <c r="C319" s="6" t="n">
        <v>7</v>
      </c>
      <c r="D319" s="6" t="n">
        <v>5</v>
      </c>
      <c r="E319" s="6" t="n">
        <v>12</v>
      </c>
      <c r="F319" s="6" t="n">
        <v>0</v>
      </c>
      <c r="G319" s="6" t="n">
        <v>0</v>
      </c>
      <c r="H319" s="6" t="n">
        <v>0</v>
      </c>
      <c r="I319" s="6" t="n">
        <v>0</v>
      </c>
      <c r="J319" s="6" t="n">
        <v>0</v>
      </c>
      <c r="K319" s="7" t="n">
        <f aca="false">IF(E319+F319=0,"",E319/(E319+F319))</f>
        <v>1</v>
      </c>
      <c r="L319" s="13" t="str">
        <f aca="false">IF(E319+I319&gt;0,"Yes","No")</f>
        <v>Yes</v>
      </c>
      <c r="M319" s="14" t="s">
        <v>658</v>
      </c>
    </row>
    <row r="320" customFormat="false" ht="15" hidden="false" customHeight="false" outlineLevel="0" collapsed="false">
      <c r="A320" s="9" t="n">
        <v>336</v>
      </c>
      <c r="B320" s="9" t="s">
        <v>659</v>
      </c>
      <c r="C320" s="10" t="n">
        <v>5</v>
      </c>
      <c r="D320" s="10" t="n">
        <v>7</v>
      </c>
      <c r="E320" s="10" t="n">
        <v>12</v>
      </c>
      <c r="F320" s="10" t="n">
        <v>0</v>
      </c>
      <c r="G320" s="10" t="n">
        <v>0</v>
      </c>
      <c r="H320" s="10" t="n">
        <v>0</v>
      </c>
      <c r="I320" s="10" t="n">
        <v>0</v>
      </c>
      <c r="J320" s="10" t="n">
        <v>0</v>
      </c>
      <c r="K320" s="11" t="n">
        <f aca="false">IF(E320+F320=0,"",E320/(E320+F320))</f>
        <v>1</v>
      </c>
      <c r="L320" s="9" t="str">
        <f aca="false">IF(E320+I320&gt;0,"Yes","No")</f>
        <v>Yes</v>
      </c>
      <c r="M320" s="12" t="s">
        <v>660</v>
      </c>
    </row>
    <row r="321" customFormat="false" ht="15" hidden="false" customHeight="false" outlineLevel="0" collapsed="false">
      <c r="A321" s="13" t="n">
        <v>21</v>
      </c>
      <c r="B321" s="13" t="s">
        <v>661</v>
      </c>
      <c r="C321" s="6" t="n">
        <v>5</v>
      </c>
      <c r="D321" s="6" t="n">
        <v>6</v>
      </c>
      <c r="E321" s="6" t="n">
        <v>11</v>
      </c>
      <c r="F321" s="6" t="n">
        <v>0</v>
      </c>
      <c r="G321" s="6" t="n">
        <v>6</v>
      </c>
      <c r="H321" s="6" t="n">
        <v>3</v>
      </c>
      <c r="I321" s="6" t="n">
        <v>9</v>
      </c>
      <c r="J321" s="6" t="n">
        <v>0</v>
      </c>
      <c r="K321" s="7" t="n">
        <f aca="false">IF(E321+F321=0,"",E321/(E321+F321))</f>
        <v>1</v>
      </c>
      <c r="L321" s="13" t="str">
        <f aca="false">IF(E321+I321&gt;0,"Yes","No")</f>
        <v>Yes</v>
      </c>
      <c r="M321" s="14" t="s">
        <v>662</v>
      </c>
    </row>
    <row r="322" customFormat="false" ht="15" hidden="false" customHeight="false" outlineLevel="0" collapsed="false">
      <c r="A322" s="9" t="n">
        <v>310</v>
      </c>
      <c r="B322" s="9" t="s">
        <v>663</v>
      </c>
      <c r="C322" s="10" t="n">
        <v>7</v>
      </c>
      <c r="D322" s="10" t="n">
        <v>4</v>
      </c>
      <c r="E322" s="10" t="n">
        <v>11</v>
      </c>
      <c r="F322" s="10" t="n">
        <v>0</v>
      </c>
      <c r="G322" s="10" t="n">
        <v>3</v>
      </c>
      <c r="H322" s="10" t="n">
        <v>2</v>
      </c>
      <c r="I322" s="10" t="n">
        <v>5</v>
      </c>
      <c r="J322" s="10" t="n">
        <v>0</v>
      </c>
      <c r="K322" s="11" t="n">
        <f aca="false">IF(E322+F322=0,"",E322/(E322+F322))</f>
        <v>1</v>
      </c>
      <c r="L322" s="9" t="str">
        <f aca="false">IF(E322+I322&gt;0,"Yes","No")</f>
        <v>Yes</v>
      </c>
      <c r="M322" s="12" t="s">
        <v>664</v>
      </c>
    </row>
    <row r="323" customFormat="false" ht="15" hidden="false" customHeight="false" outlineLevel="0" collapsed="false">
      <c r="A323" s="13" t="n">
        <v>297</v>
      </c>
      <c r="B323" s="13" t="s">
        <v>665</v>
      </c>
      <c r="C323" s="6" t="n">
        <v>5</v>
      </c>
      <c r="D323" s="6" t="n">
        <v>6</v>
      </c>
      <c r="E323" s="6" t="n">
        <v>11</v>
      </c>
      <c r="F323" s="6" t="n">
        <v>0</v>
      </c>
      <c r="G323" s="6" t="n">
        <v>2</v>
      </c>
      <c r="H323" s="6" t="n">
        <v>1</v>
      </c>
      <c r="I323" s="6" t="n">
        <v>3</v>
      </c>
      <c r="J323" s="6" t="n">
        <v>0</v>
      </c>
      <c r="K323" s="7" t="n">
        <f aca="false">IF(E323+F323=0,"",E323/(E323+F323))</f>
        <v>1</v>
      </c>
      <c r="L323" s="13" t="str">
        <f aca="false">IF(E323+I323&gt;0,"Yes","No")</f>
        <v>Yes</v>
      </c>
      <c r="M323" s="14" t="s">
        <v>666</v>
      </c>
    </row>
    <row r="324" customFormat="false" ht="15" hidden="false" customHeight="false" outlineLevel="0" collapsed="false">
      <c r="A324" s="9" t="n">
        <v>345</v>
      </c>
      <c r="B324" s="9" t="s">
        <v>667</v>
      </c>
      <c r="C324" s="10" t="n">
        <v>3</v>
      </c>
      <c r="D324" s="10" t="n">
        <v>8</v>
      </c>
      <c r="E324" s="10" t="n">
        <v>11</v>
      </c>
      <c r="F324" s="10" t="n">
        <v>0</v>
      </c>
      <c r="G324" s="10" t="n">
        <v>2</v>
      </c>
      <c r="H324" s="10" t="n">
        <v>1</v>
      </c>
      <c r="I324" s="10" t="n">
        <v>3</v>
      </c>
      <c r="J324" s="10" t="n">
        <v>0</v>
      </c>
      <c r="K324" s="11" t="n">
        <f aca="false">IF(E324+F324=0,"",E324/(E324+F324))</f>
        <v>1</v>
      </c>
      <c r="L324" s="9" t="str">
        <f aca="false">IF(E324+I324&gt;0,"Yes","No")</f>
        <v>Yes</v>
      </c>
      <c r="M324" s="12" t="s">
        <v>668</v>
      </c>
    </row>
    <row r="325" customFormat="false" ht="15" hidden="false" customHeight="false" outlineLevel="0" collapsed="false">
      <c r="A325" s="13" t="n">
        <v>220</v>
      </c>
      <c r="B325" s="13" t="s">
        <v>669</v>
      </c>
      <c r="C325" s="6" t="n">
        <v>3</v>
      </c>
      <c r="D325" s="6" t="n">
        <v>8</v>
      </c>
      <c r="E325" s="6" t="n">
        <v>11</v>
      </c>
      <c r="F325" s="6" t="n">
        <v>0</v>
      </c>
      <c r="G325" s="6" t="n">
        <v>0</v>
      </c>
      <c r="H325" s="6" t="n">
        <v>2</v>
      </c>
      <c r="I325" s="6" t="n">
        <v>2</v>
      </c>
      <c r="J325" s="6" t="n">
        <v>0</v>
      </c>
      <c r="K325" s="7" t="n">
        <f aca="false">IF(E325+F325=0,"",E325/(E325+F325))</f>
        <v>1</v>
      </c>
      <c r="L325" s="13" t="str">
        <f aca="false">IF(E325+I325&gt;0,"Yes","No")</f>
        <v>Yes</v>
      </c>
      <c r="M325" s="14" t="s">
        <v>670</v>
      </c>
    </row>
    <row r="326" customFormat="false" ht="15" hidden="false" customHeight="false" outlineLevel="0" collapsed="false">
      <c r="A326" s="9" t="n">
        <v>407</v>
      </c>
      <c r="B326" s="9" t="s">
        <v>671</v>
      </c>
      <c r="C326" s="10" t="n">
        <v>3</v>
      </c>
      <c r="D326" s="10" t="n">
        <v>8</v>
      </c>
      <c r="E326" s="10" t="n">
        <v>11</v>
      </c>
      <c r="F326" s="10" t="n">
        <v>0</v>
      </c>
      <c r="G326" s="10" t="n">
        <v>1</v>
      </c>
      <c r="H326" s="10" t="n">
        <v>1</v>
      </c>
      <c r="I326" s="10" t="n">
        <v>2</v>
      </c>
      <c r="J326" s="10" t="n">
        <v>0</v>
      </c>
      <c r="K326" s="11" t="n">
        <f aca="false">IF(E326+F326=0,"",E326/(E326+F326))</f>
        <v>1</v>
      </c>
      <c r="L326" s="9" t="str">
        <f aca="false">IF(E326+I326&gt;0,"Yes","No")</f>
        <v>Yes</v>
      </c>
      <c r="M326" s="12" t="s">
        <v>672</v>
      </c>
    </row>
    <row r="327" customFormat="false" ht="15" hidden="false" customHeight="false" outlineLevel="0" collapsed="false">
      <c r="A327" s="13" t="n">
        <v>442</v>
      </c>
      <c r="B327" s="13" t="s">
        <v>673</v>
      </c>
      <c r="C327" s="6" t="n">
        <v>10</v>
      </c>
      <c r="D327" s="6" t="n">
        <v>1</v>
      </c>
      <c r="E327" s="6" t="n">
        <v>11</v>
      </c>
      <c r="F327" s="6" t="n">
        <v>0</v>
      </c>
      <c r="G327" s="6" t="n">
        <v>2</v>
      </c>
      <c r="H327" s="6" t="n">
        <v>0</v>
      </c>
      <c r="I327" s="6" t="n">
        <v>2</v>
      </c>
      <c r="J327" s="6" t="n">
        <v>0</v>
      </c>
      <c r="K327" s="7" t="n">
        <f aca="false">IF(E327+F327=0,"",E327/(E327+F327))</f>
        <v>1</v>
      </c>
      <c r="L327" s="13" t="str">
        <f aca="false">IF(E327+I327&gt;0,"Yes","No")</f>
        <v>Yes</v>
      </c>
      <c r="M327" s="14" t="s">
        <v>674</v>
      </c>
    </row>
    <row r="328" customFormat="false" ht="15" hidden="false" customHeight="false" outlineLevel="0" collapsed="false">
      <c r="A328" s="9" t="n">
        <v>153</v>
      </c>
      <c r="B328" s="9" t="s">
        <v>675</v>
      </c>
      <c r="C328" s="10" t="n">
        <v>8</v>
      </c>
      <c r="D328" s="10" t="n">
        <v>3</v>
      </c>
      <c r="E328" s="10" t="n">
        <v>11</v>
      </c>
      <c r="F328" s="10" t="n">
        <v>0</v>
      </c>
      <c r="G328" s="10" t="n">
        <v>0</v>
      </c>
      <c r="H328" s="10" t="n">
        <v>1</v>
      </c>
      <c r="I328" s="10" t="n">
        <v>1</v>
      </c>
      <c r="J328" s="10" t="n">
        <v>0</v>
      </c>
      <c r="K328" s="11" t="n">
        <f aca="false">IF(E328+F328=0,"",E328/(E328+F328))</f>
        <v>1</v>
      </c>
      <c r="L328" s="9" t="str">
        <f aca="false">IF(E328+I328&gt;0,"Yes","No")</f>
        <v>Yes</v>
      </c>
      <c r="M328" s="12" t="s">
        <v>676</v>
      </c>
    </row>
    <row r="329" customFormat="false" ht="15" hidden="false" customHeight="false" outlineLevel="0" collapsed="false">
      <c r="A329" s="13" t="n">
        <v>201</v>
      </c>
      <c r="B329" s="13" t="s">
        <v>677</v>
      </c>
      <c r="C329" s="6" t="n">
        <v>9</v>
      </c>
      <c r="D329" s="6" t="n">
        <v>2</v>
      </c>
      <c r="E329" s="6" t="n">
        <v>11</v>
      </c>
      <c r="F329" s="6" t="n">
        <v>0</v>
      </c>
      <c r="G329" s="6" t="n">
        <v>0</v>
      </c>
      <c r="H329" s="6" t="n">
        <v>0</v>
      </c>
      <c r="I329" s="6" t="n">
        <v>0</v>
      </c>
      <c r="J329" s="6" t="n">
        <v>0</v>
      </c>
      <c r="K329" s="7" t="n">
        <f aca="false">IF(E329+F329=0,"",E329/(E329+F329))</f>
        <v>1</v>
      </c>
      <c r="L329" s="13" t="str">
        <f aca="false">IF(E329+I329&gt;0,"Yes","No")</f>
        <v>Yes</v>
      </c>
      <c r="M329" s="14" t="s">
        <v>678</v>
      </c>
    </row>
    <row r="330" customFormat="false" ht="15" hidden="false" customHeight="false" outlineLevel="0" collapsed="false">
      <c r="A330" s="9" t="n">
        <v>210</v>
      </c>
      <c r="B330" s="9" t="s">
        <v>679</v>
      </c>
      <c r="C330" s="10" t="n">
        <v>5</v>
      </c>
      <c r="D330" s="10" t="n">
        <v>6</v>
      </c>
      <c r="E330" s="10" t="n">
        <v>11</v>
      </c>
      <c r="F330" s="10" t="n">
        <v>0</v>
      </c>
      <c r="G330" s="10" t="n">
        <v>0</v>
      </c>
      <c r="H330" s="10" t="n">
        <v>0</v>
      </c>
      <c r="I330" s="10" t="n">
        <v>0</v>
      </c>
      <c r="J330" s="10" t="n">
        <v>0</v>
      </c>
      <c r="K330" s="11" t="n">
        <f aca="false">IF(E330+F330=0,"",E330/(E330+F330))</f>
        <v>1</v>
      </c>
      <c r="L330" s="9" t="str">
        <f aca="false">IF(E330+I330&gt;0,"Yes","No")</f>
        <v>Yes</v>
      </c>
      <c r="M330" s="12" t="s">
        <v>680</v>
      </c>
    </row>
    <row r="331" customFormat="false" ht="15" hidden="false" customHeight="false" outlineLevel="0" collapsed="false">
      <c r="A331" s="13" t="n">
        <v>364</v>
      </c>
      <c r="B331" s="13" t="s">
        <v>681</v>
      </c>
      <c r="C331" s="6" t="n">
        <v>8</v>
      </c>
      <c r="D331" s="6" t="n">
        <v>2</v>
      </c>
      <c r="E331" s="6" t="n">
        <v>10</v>
      </c>
      <c r="F331" s="6" t="n">
        <v>0</v>
      </c>
      <c r="G331" s="6" t="n">
        <v>3</v>
      </c>
      <c r="H331" s="6" t="n">
        <v>2</v>
      </c>
      <c r="I331" s="6" t="n">
        <v>5</v>
      </c>
      <c r="J331" s="6" t="n">
        <v>1</v>
      </c>
      <c r="K331" s="7" t="n">
        <f aca="false">IF(E331+F331=0,"",E331/(E331+F331))</f>
        <v>1</v>
      </c>
      <c r="L331" s="13" t="str">
        <f aca="false">IF(E331+I331&gt;0,"Yes","No")</f>
        <v>Yes</v>
      </c>
      <c r="M331" s="14" t="s">
        <v>682</v>
      </c>
    </row>
    <row r="332" customFormat="false" ht="15" hidden="false" customHeight="false" outlineLevel="0" collapsed="false">
      <c r="A332" s="9" t="n">
        <v>195</v>
      </c>
      <c r="B332" s="9" t="s">
        <v>683</v>
      </c>
      <c r="C332" s="10" t="n">
        <v>5</v>
      </c>
      <c r="D332" s="10" t="n">
        <v>5</v>
      </c>
      <c r="E332" s="10" t="n">
        <v>10</v>
      </c>
      <c r="F332" s="10" t="n">
        <v>0</v>
      </c>
      <c r="G332" s="10" t="n">
        <v>0</v>
      </c>
      <c r="H332" s="10" t="n">
        <v>3</v>
      </c>
      <c r="I332" s="10" t="n">
        <v>3</v>
      </c>
      <c r="J332" s="10" t="n">
        <v>1</v>
      </c>
      <c r="K332" s="11" t="n">
        <f aca="false">IF(E332+F332=0,"",E332/(E332+F332))</f>
        <v>1</v>
      </c>
      <c r="L332" s="9" t="str">
        <f aca="false">IF(E332+I332&gt;0,"Yes","No")</f>
        <v>Yes</v>
      </c>
      <c r="M332" s="12" t="s">
        <v>684</v>
      </c>
    </row>
    <row r="333" customFormat="false" ht="15" hidden="false" customHeight="false" outlineLevel="0" collapsed="false">
      <c r="A333" s="13" t="n">
        <v>369</v>
      </c>
      <c r="B333" s="13" t="s">
        <v>685</v>
      </c>
      <c r="C333" s="6" t="n">
        <v>1</v>
      </c>
      <c r="D333" s="6" t="n">
        <v>9</v>
      </c>
      <c r="E333" s="6" t="n">
        <v>10</v>
      </c>
      <c r="F333" s="6" t="n">
        <v>0</v>
      </c>
      <c r="G333" s="6" t="n">
        <v>1</v>
      </c>
      <c r="H333" s="6" t="n">
        <v>1</v>
      </c>
      <c r="I333" s="6" t="n">
        <v>2</v>
      </c>
      <c r="J333" s="6" t="n">
        <v>0</v>
      </c>
      <c r="K333" s="7" t="n">
        <f aca="false">IF(E333+F333=0,"",E333/(E333+F333))</f>
        <v>1</v>
      </c>
      <c r="L333" s="13" t="str">
        <f aca="false">IF(E333+I333&gt;0,"Yes","No")</f>
        <v>Yes</v>
      </c>
      <c r="M333" s="14" t="s">
        <v>686</v>
      </c>
    </row>
    <row r="334" customFormat="false" ht="15" hidden="false" customHeight="false" outlineLevel="0" collapsed="false">
      <c r="A334" s="9" t="n">
        <v>260</v>
      </c>
      <c r="B334" s="9" t="s">
        <v>687</v>
      </c>
      <c r="C334" s="10" t="n">
        <v>3</v>
      </c>
      <c r="D334" s="10" t="n">
        <v>7</v>
      </c>
      <c r="E334" s="10" t="n">
        <v>10</v>
      </c>
      <c r="F334" s="10" t="n">
        <v>0</v>
      </c>
      <c r="G334" s="10" t="n">
        <v>1</v>
      </c>
      <c r="H334" s="10" t="n">
        <v>0</v>
      </c>
      <c r="I334" s="10" t="n">
        <v>1</v>
      </c>
      <c r="J334" s="10" t="n">
        <v>0</v>
      </c>
      <c r="K334" s="11" t="n">
        <f aca="false">IF(E334+F334=0,"",E334/(E334+F334))</f>
        <v>1</v>
      </c>
      <c r="L334" s="9" t="str">
        <f aca="false">IF(E334+I334&gt;0,"Yes","No")</f>
        <v>Yes</v>
      </c>
      <c r="M334" s="12" t="s">
        <v>688</v>
      </c>
    </row>
    <row r="335" customFormat="false" ht="15" hidden="false" customHeight="false" outlineLevel="0" collapsed="false">
      <c r="A335" s="13" t="n">
        <v>240</v>
      </c>
      <c r="B335" s="13" t="s">
        <v>689</v>
      </c>
      <c r="C335" s="6" t="n">
        <v>5</v>
      </c>
      <c r="D335" s="6" t="n">
        <v>5</v>
      </c>
      <c r="E335" s="6" t="n">
        <v>10</v>
      </c>
      <c r="F335" s="6" t="n">
        <v>1</v>
      </c>
      <c r="G335" s="6" t="n">
        <v>0</v>
      </c>
      <c r="H335" s="6" t="n">
        <v>0</v>
      </c>
      <c r="I335" s="6" t="n">
        <v>0</v>
      </c>
      <c r="J335" s="6" t="n">
        <v>0</v>
      </c>
      <c r="K335" s="7" t="n">
        <f aca="false">IF(E335+F335=0,"",E335/(E335+F335))</f>
        <v>0.909090909090909</v>
      </c>
      <c r="L335" s="13" t="str">
        <f aca="false">IF(E335+I335&gt;0,"Yes","No")</f>
        <v>Yes</v>
      </c>
      <c r="M335" s="14" t="s">
        <v>690</v>
      </c>
    </row>
    <row r="336" customFormat="false" ht="15" hidden="false" customHeight="false" outlineLevel="0" collapsed="false">
      <c r="A336" s="9" t="n">
        <v>279</v>
      </c>
      <c r="B336" s="9" t="s">
        <v>691</v>
      </c>
      <c r="C336" s="10" t="n">
        <v>7</v>
      </c>
      <c r="D336" s="10" t="n">
        <v>2</v>
      </c>
      <c r="E336" s="10" t="n">
        <v>9</v>
      </c>
      <c r="F336" s="10" t="n">
        <v>0</v>
      </c>
      <c r="G336" s="10" t="n">
        <v>1</v>
      </c>
      <c r="H336" s="10" t="n">
        <v>4</v>
      </c>
      <c r="I336" s="10" t="n">
        <v>5</v>
      </c>
      <c r="J336" s="10" t="n">
        <v>0</v>
      </c>
      <c r="K336" s="11" t="n">
        <f aca="false">IF(E336+F336=0,"",E336/(E336+F336))</f>
        <v>1</v>
      </c>
      <c r="L336" s="9" t="str">
        <f aca="false">IF(E336+I336&gt;0,"Yes","No")</f>
        <v>Yes</v>
      </c>
      <c r="M336" s="12" t="s">
        <v>692</v>
      </c>
    </row>
    <row r="337" customFormat="false" ht="15" hidden="false" customHeight="false" outlineLevel="0" collapsed="false">
      <c r="A337" s="13" t="n">
        <v>358</v>
      </c>
      <c r="B337" s="13" t="s">
        <v>693</v>
      </c>
      <c r="C337" s="6" t="n">
        <v>3</v>
      </c>
      <c r="D337" s="6" t="n">
        <v>6</v>
      </c>
      <c r="E337" s="6" t="n">
        <v>9</v>
      </c>
      <c r="F337" s="6" t="n">
        <v>0</v>
      </c>
      <c r="G337" s="6" t="n">
        <v>1</v>
      </c>
      <c r="H337" s="6" t="n">
        <v>2</v>
      </c>
      <c r="I337" s="6" t="n">
        <v>3</v>
      </c>
      <c r="J337" s="6" t="n">
        <v>0</v>
      </c>
      <c r="K337" s="7" t="n">
        <f aca="false">IF(E337+F337=0,"",E337/(E337+F337))</f>
        <v>1</v>
      </c>
      <c r="L337" s="13" t="str">
        <f aca="false">IF(E337+I337&gt;0,"Yes","No")</f>
        <v>Yes</v>
      </c>
      <c r="M337" s="14" t="s">
        <v>694</v>
      </c>
    </row>
    <row r="338" customFormat="false" ht="15" hidden="false" customHeight="false" outlineLevel="0" collapsed="false">
      <c r="A338" s="9" t="n">
        <v>341</v>
      </c>
      <c r="B338" s="9" t="s">
        <v>695</v>
      </c>
      <c r="C338" s="10" t="n">
        <v>4</v>
      </c>
      <c r="D338" s="10" t="n">
        <v>5</v>
      </c>
      <c r="E338" s="10" t="n">
        <v>9</v>
      </c>
      <c r="F338" s="10" t="n">
        <v>0</v>
      </c>
      <c r="G338" s="10" t="n">
        <v>0</v>
      </c>
      <c r="H338" s="10" t="n">
        <v>2</v>
      </c>
      <c r="I338" s="10" t="n">
        <v>2</v>
      </c>
      <c r="J338" s="10" t="n">
        <v>0</v>
      </c>
      <c r="K338" s="11" t="n">
        <f aca="false">IF(E338+F338=0,"",E338/(E338+F338))</f>
        <v>1</v>
      </c>
      <c r="L338" s="9" t="str">
        <f aca="false">IF(E338+I338&gt;0,"Yes","No")</f>
        <v>Yes</v>
      </c>
      <c r="M338" s="12" t="s">
        <v>696</v>
      </c>
    </row>
    <row r="339" customFormat="false" ht="15" hidden="false" customHeight="false" outlineLevel="0" collapsed="false">
      <c r="A339" s="13" t="n">
        <v>366</v>
      </c>
      <c r="B339" s="13" t="s">
        <v>697</v>
      </c>
      <c r="C339" s="6" t="n">
        <v>0</v>
      </c>
      <c r="D339" s="6" t="n">
        <v>9</v>
      </c>
      <c r="E339" s="6" t="n">
        <v>9</v>
      </c>
      <c r="F339" s="6" t="n">
        <v>0</v>
      </c>
      <c r="G339" s="6" t="n">
        <v>2</v>
      </c>
      <c r="H339" s="6" t="n">
        <v>0</v>
      </c>
      <c r="I339" s="6" t="n">
        <v>2</v>
      </c>
      <c r="J339" s="6" t="n">
        <v>0</v>
      </c>
      <c r="K339" s="7" t="n">
        <f aca="false">IF(E339+F339=0,"",E339/(E339+F339))</f>
        <v>1</v>
      </c>
      <c r="L339" s="13" t="str">
        <f aca="false">IF(E339+I339&gt;0,"Yes","No")</f>
        <v>Yes</v>
      </c>
      <c r="M339" s="14" t="s">
        <v>698</v>
      </c>
    </row>
    <row r="340" customFormat="false" ht="15" hidden="false" customHeight="false" outlineLevel="0" collapsed="false">
      <c r="A340" s="9" t="n">
        <v>441</v>
      </c>
      <c r="B340" s="9" t="s">
        <v>699</v>
      </c>
      <c r="C340" s="10" t="n">
        <v>8</v>
      </c>
      <c r="D340" s="10" t="n">
        <v>1</v>
      </c>
      <c r="E340" s="10" t="n">
        <v>9</v>
      </c>
      <c r="F340" s="10" t="n">
        <v>0</v>
      </c>
      <c r="G340" s="10" t="n">
        <v>1</v>
      </c>
      <c r="H340" s="10" t="n">
        <v>1</v>
      </c>
      <c r="I340" s="10" t="n">
        <v>2</v>
      </c>
      <c r="J340" s="10" t="n">
        <v>0</v>
      </c>
      <c r="K340" s="11" t="n">
        <f aca="false">IF(E340+F340=0,"",E340/(E340+F340))</f>
        <v>1</v>
      </c>
      <c r="L340" s="9" t="str">
        <f aca="false">IF(E340+I340&gt;0,"Yes","No")</f>
        <v>Yes</v>
      </c>
      <c r="M340" s="12" t="s">
        <v>700</v>
      </c>
    </row>
    <row r="341" customFormat="false" ht="15" hidden="false" customHeight="false" outlineLevel="0" collapsed="false">
      <c r="A341" s="13" t="n">
        <v>173</v>
      </c>
      <c r="B341" s="13" t="s">
        <v>701</v>
      </c>
      <c r="C341" s="6" t="n">
        <v>2</v>
      </c>
      <c r="D341" s="6" t="n">
        <v>7</v>
      </c>
      <c r="E341" s="6" t="n">
        <v>9</v>
      </c>
      <c r="F341" s="6" t="n">
        <v>0</v>
      </c>
      <c r="G341" s="6" t="n">
        <v>0</v>
      </c>
      <c r="H341" s="6" t="n">
        <v>1</v>
      </c>
      <c r="I341" s="6" t="n">
        <v>1</v>
      </c>
      <c r="J341" s="6" t="n">
        <v>0</v>
      </c>
      <c r="K341" s="7" t="n">
        <f aca="false">IF(E341+F341=0,"",E341/(E341+F341))</f>
        <v>1</v>
      </c>
      <c r="L341" s="13" t="str">
        <f aca="false">IF(E341+I341&gt;0,"Yes","No")</f>
        <v>Yes</v>
      </c>
      <c r="M341" s="14" t="s">
        <v>702</v>
      </c>
    </row>
    <row r="342" customFormat="false" ht="15" hidden="false" customHeight="false" outlineLevel="0" collapsed="false">
      <c r="A342" s="9" t="n">
        <v>258</v>
      </c>
      <c r="B342" s="9" t="s">
        <v>703</v>
      </c>
      <c r="C342" s="10" t="n">
        <v>6</v>
      </c>
      <c r="D342" s="10" t="n">
        <v>3</v>
      </c>
      <c r="E342" s="10" t="n">
        <v>9</v>
      </c>
      <c r="F342" s="10" t="n">
        <v>0</v>
      </c>
      <c r="G342" s="10" t="n">
        <v>1</v>
      </c>
      <c r="H342" s="10" t="n">
        <v>0</v>
      </c>
      <c r="I342" s="10" t="n">
        <v>1</v>
      </c>
      <c r="J342" s="10" t="n">
        <v>0</v>
      </c>
      <c r="K342" s="11" t="n">
        <f aca="false">IF(E342+F342=0,"",E342/(E342+F342))</f>
        <v>1</v>
      </c>
      <c r="L342" s="9" t="str">
        <f aca="false">IF(E342+I342&gt;0,"Yes","No")</f>
        <v>Yes</v>
      </c>
      <c r="M342" s="12" t="s">
        <v>704</v>
      </c>
    </row>
    <row r="343" customFormat="false" ht="15" hidden="false" customHeight="false" outlineLevel="0" collapsed="false">
      <c r="A343" s="13" t="n">
        <v>256</v>
      </c>
      <c r="B343" s="13" t="s">
        <v>705</v>
      </c>
      <c r="C343" s="6" t="n">
        <v>4</v>
      </c>
      <c r="D343" s="6" t="n">
        <v>5</v>
      </c>
      <c r="E343" s="6" t="n">
        <v>9</v>
      </c>
      <c r="F343" s="6" t="n">
        <v>0</v>
      </c>
      <c r="G343" s="6" t="n">
        <v>0</v>
      </c>
      <c r="H343" s="6" t="n">
        <v>0</v>
      </c>
      <c r="I343" s="6" t="n">
        <v>0</v>
      </c>
      <c r="J343" s="6" t="n">
        <v>0</v>
      </c>
      <c r="K343" s="7" t="n">
        <f aca="false">IF(E343+F343=0,"",E343/(E343+F343))</f>
        <v>1</v>
      </c>
      <c r="L343" s="13" t="str">
        <f aca="false">IF(E343+I343&gt;0,"Yes","No")</f>
        <v>Yes</v>
      </c>
      <c r="M343" s="14" t="s">
        <v>706</v>
      </c>
    </row>
    <row r="344" customFormat="false" ht="15" hidden="false" customHeight="false" outlineLevel="0" collapsed="false">
      <c r="A344" s="9" t="n">
        <v>302</v>
      </c>
      <c r="B344" s="9" t="s">
        <v>707</v>
      </c>
      <c r="C344" s="10" t="n">
        <v>3</v>
      </c>
      <c r="D344" s="10" t="n">
        <v>6</v>
      </c>
      <c r="E344" s="10" t="n">
        <v>9</v>
      </c>
      <c r="F344" s="10" t="n">
        <v>0</v>
      </c>
      <c r="G344" s="10" t="n">
        <v>0</v>
      </c>
      <c r="H344" s="10" t="n">
        <v>0</v>
      </c>
      <c r="I344" s="10" t="n">
        <v>0</v>
      </c>
      <c r="J344" s="10" t="n">
        <v>0</v>
      </c>
      <c r="K344" s="11" t="n">
        <f aca="false">IF(E344+F344=0,"",E344/(E344+F344))</f>
        <v>1</v>
      </c>
      <c r="L344" s="9" t="str">
        <f aca="false">IF(E344+I344&gt;0,"Yes","No")</f>
        <v>Yes</v>
      </c>
      <c r="M344" s="12" t="s">
        <v>708</v>
      </c>
    </row>
    <row r="345" customFormat="false" ht="15" hidden="false" customHeight="false" outlineLevel="0" collapsed="false">
      <c r="A345" s="13" t="n">
        <v>388</v>
      </c>
      <c r="B345" s="13" t="s">
        <v>709</v>
      </c>
      <c r="C345" s="6" t="n">
        <v>6</v>
      </c>
      <c r="D345" s="6" t="n">
        <v>3</v>
      </c>
      <c r="E345" s="6" t="n">
        <v>9</v>
      </c>
      <c r="F345" s="6" t="n">
        <v>0</v>
      </c>
      <c r="G345" s="6" t="n">
        <v>0</v>
      </c>
      <c r="H345" s="6" t="n">
        <v>0</v>
      </c>
      <c r="I345" s="6" t="n">
        <v>0</v>
      </c>
      <c r="J345" s="6" t="n">
        <v>0</v>
      </c>
      <c r="K345" s="7" t="n">
        <f aca="false">IF(E345+F345=0,"",E345/(E345+F345))</f>
        <v>1</v>
      </c>
      <c r="L345" s="13" t="str">
        <f aca="false">IF(E345+I345&gt;0,"Yes","No")</f>
        <v>Yes</v>
      </c>
      <c r="M345" s="14" t="s">
        <v>710</v>
      </c>
    </row>
    <row r="346" customFormat="false" ht="15" hidden="false" customHeight="false" outlineLevel="0" collapsed="false">
      <c r="A346" s="9" t="n">
        <v>165</v>
      </c>
      <c r="B346" s="9" t="s">
        <v>711</v>
      </c>
      <c r="C346" s="10" t="n">
        <v>0</v>
      </c>
      <c r="D346" s="10" t="n">
        <v>8</v>
      </c>
      <c r="E346" s="10" t="n">
        <v>8</v>
      </c>
      <c r="F346" s="10" t="n">
        <v>0</v>
      </c>
      <c r="G346" s="10" t="n">
        <v>1</v>
      </c>
      <c r="H346" s="10" t="n">
        <v>4</v>
      </c>
      <c r="I346" s="10" t="n">
        <v>5</v>
      </c>
      <c r="J346" s="10" t="n">
        <v>0</v>
      </c>
      <c r="K346" s="11" t="n">
        <f aca="false">IF(E346+F346=0,"",E346/(E346+F346))</f>
        <v>1</v>
      </c>
      <c r="L346" s="9" t="str">
        <f aca="false">IF(E346+I346&gt;0,"Yes","No")</f>
        <v>Yes</v>
      </c>
      <c r="M346" s="12" t="s">
        <v>712</v>
      </c>
    </row>
    <row r="347" customFormat="false" ht="15" hidden="false" customHeight="false" outlineLevel="0" collapsed="false">
      <c r="A347" s="13" t="n">
        <v>468</v>
      </c>
      <c r="B347" s="13" t="s">
        <v>713</v>
      </c>
      <c r="C347" s="6" t="n">
        <v>6</v>
      </c>
      <c r="D347" s="6" t="n">
        <v>2</v>
      </c>
      <c r="E347" s="6" t="n">
        <v>8</v>
      </c>
      <c r="F347" s="6" t="n">
        <v>0</v>
      </c>
      <c r="G347" s="6" t="n">
        <v>3</v>
      </c>
      <c r="H347" s="6" t="n">
        <v>0</v>
      </c>
      <c r="I347" s="6" t="n">
        <v>3</v>
      </c>
      <c r="J347" s="6" t="n">
        <v>0</v>
      </c>
      <c r="K347" s="7" t="n">
        <f aca="false">IF(E347+F347=0,"",E347/(E347+F347))</f>
        <v>1</v>
      </c>
      <c r="L347" s="13" t="str">
        <f aca="false">IF(E347+I347&gt;0,"Yes","No")</f>
        <v>Yes</v>
      </c>
      <c r="M347" s="14" t="s">
        <v>714</v>
      </c>
    </row>
    <row r="348" customFormat="false" ht="15" hidden="false" customHeight="false" outlineLevel="0" collapsed="false">
      <c r="A348" s="9" t="n">
        <v>77</v>
      </c>
      <c r="B348" s="9" t="s">
        <v>715</v>
      </c>
      <c r="C348" s="10" t="n">
        <v>4</v>
      </c>
      <c r="D348" s="10" t="n">
        <v>4</v>
      </c>
      <c r="E348" s="10" t="n">
        <v>8</v>
      </c>
      <c r="F348" s="10" t="n">
        <v>0</v>
      </c>
      <c r="G348" s="10" t="n">
        <v>2</v>
      </c>
      <c r="H348" s="10" t="n">
        <v>0</v>
      </c>
      <c r="I348" s="10" t="n">
        <v>2</v>
      </c>
      <c r="J348" s="10" t="n">
        <v>0</v>
      </c>
      <c r="K348" s="11" t="n">
        <f aca="false">IF(E348+F348=0,"",E348/(E348+F348))</f>
        <v>1</v>
      </c>
      <c r="L348" s="9" t="str">
        <f aca="false">IF(E348+I348&gt;0,"Yes","No")</f>
        <v>Yes</v>
      </c>
      <c r="M348" s="12" t="s">
        <v>716</v>
      </c>
    </row>
    <row r="349" customFormat="false" ht="15" hidden="false" customHeight="false" outlineLevel="0" collapsed="false">
      <c r="A349" s="13" t="n">
        <v>52</v>
      </c>
      <c r="B349" s="13" t="s">
        <v>717</v>
      </c>
      <c r="C349" s="6" t="n">
        <v>4</v>
      </c>
      <c r="D349" s="6" t="n">
        <v>4</v>
      </c>
      <c r="E349" s="6" t="n">
        <v>8</v>
      </c>
      <c r="F349" s="6" t="n">
        <v>0</v>
      </c>
      <c r="G349" s="6" t="n">
        <v>1</v>
      </c>
      <c r="H349" s="6" t="n">
        <v>0</v>
      </c>
      <c r="I349" s="6" t="n">
        <v>1</v>
      </c>
      <c r="J349" s="6" t="n">
        <v>0</v>
      </c>
      <c r="K349" s="7" t="n">
        <f aca="false">IF(E349+F349=0,"",E349/(E349+F349))</f>
        <v>1</v>
      </c>
      <c r="L349" s="13" t="str">
        <f aca="false">IF(E349+I349&gt;0,"Yes","No")</f>
        <v>Yes</v>
      </c>
      <c r="M349" s="14" t="s">
        <v>718</v>
      </c>
    </row>
    <row r="350" customFormat="false" ht="15" hidden="false" customHeight="false" outlineLevel="0" collapsed="false">
      <c r="A350" s="9" t="n">
        <v>433</v>
      </c>
      <c r="B350" s="9" t="s">
        <v>719</v>
      </c>
      <c r="C350" s="10" t="n">
        <v>7</v>
      </c>
      <c r="D350" s="10" t="n">
        <v>1</v>
      </c>
      <c r="E350" s="10" t="n">
        <v>8</v>
      </c>
      <c r="F350" s="10" t="n">
        <v>0</v>
      </c>
      <c r="G350" s="10" t="n">
        <v>1</v>
      </c>
      <c r="H350" s="10" t="n">
        <v>0</v>
      </c>
      <c r="I350" s="10" t="n">
        <v>1</v>
      </c>
      <c r="J350" s="10" t="n">
        <v>0</v>
      </c>
      <c r="K350" s="11" t="n">
        <f aca="false">IF(E350+F350=0,"",E350/(E350+F350))</f>
        <v>1</v>
      </c>
      <c r="L350" s="9" t="str">
        <f aca="false">IF(E350+I350&gt;0,"Yes","No")</f>
        <v>Yes</v>
      </c>
      <c r="M350" s="12" t="s">
        <v>720</v>
      </c>
    </row>
    <row r="351" customFormat="false" ht="15" hidden="false" customHeight="false" outlineLevel="0" collapsed="false">
      <c r="A351" s="13" t="n">
        <v>244</v>
      </c>
      <c r="B351" s="13" t="s">
        <v>721</v>
      </c>
      <c r="C351" s="6" t="n">
        <v>2</v>
      </c>
      <c r="D351" s="6" t="n">
        <v>6</v>
      </c>
      <c r="E351" s="6" t="n">
        <v>8</v>
      </c>
      <c r="F351" s="6" t="n">
        <v>0</v>
      </c>
      <c r="G351" s="6" t="n">
        <v>0</v>
      </c>
      <c r="H351" s="6" t="n">
        <v>0</v>
      </c>
      <c r="I351" s="6" t="n">
        <v>0</v>
      </c>
      <c r="J351" s="6" t="n">
        <v>0</v>
      </c>
      <c r="K351" s="7" t="n">
        <f aca="false">IF(E351+F351=0,"",E351/(E351+F351))</f>
        <v>1</v>
      </c>
      <c r="L351" s="13" t="str">
        <f aca="false">IF(E351+I351&gt;0,"Yes","No")</f>
        <v>Yes</v>
      </c>
      <c r="M351" s="14" t="s">
        <v>722</v>
      </c>
    </row>
    <row r="352" customFormat="false" ht="15" hidden="false" customHeight="false" outlineLevel="0" collapsed="false">
      <c r="A352" s="9" t="n">
        <v>376</v>
      </c>
      <c r="B352" s="9" t="s">
        <v>723</v>
      </c>
      <c r="C352" s="10" t="n">
        <v>7</v>
      </c>
      <c r="D352" s="10" t="n">
        <v>1</v>
      </c>
      <c r="E352" s="10" t="n">
        <v>8</v>
      </c>
      <c r="F352" s="10" t="n">
        <v>0</v>
      </c>
      <c r="G352" s="10" t="n">
        <v>0</v>
      </c>
      <c r="H352" s="10" t="n">
        <v>0</v>
      </c>
      <c r="I352" s="10" t="n">
        <v>0</v>
      </c>
      <c r="J352" s="10" t="n">
        <v>0</v>
      </c>
      <c r="K352" s="11" t="n">
        <f aca="false">IF(E352+F352=0,"",E352/(E352+F352))</f>
        <v>1</v>
      </c>
      <c r="L352" s="9" t="str">
        <f aca="false">IF(E352+I352&gt;0,"Yes","No")</f>
        <v>Yes</v>
      </c>
      <c r="M352" s="12" t="s">
        <v>724</v>
      </c>
    </row>
    <row r="353" customFormat="false" ht="15" hidden="false" customHeight="false" outlineLevel="0" collapsed="false">
      <c r="A353" s="13" t="n">
        <v>313</v>
      </c>
      <c r="B353" s="13" t="s">
        <v>725</v>
      </c>
      <c r="C353" s="6" t="n">
        <v>2</v>
      </c>
      <c r="D353" s="6" t="n">
        <v>5</v>
      </c>
      <c r="E353" s="6" t="n">
        <v>7</v>
      </c>
      <c r="F353" s="6" t="n">
        <v>0</v>
      </c>
      <c r="G353" s="6" t="n">
        <v>1</v>
      </c>
      <c r="H353" s="6" t="n">
        <v>2</v>
      </c>
      <c r="I353" s="6" t="n">
        <v>3</v>
      </c>
      <c r="J353" s="6" t="n">
        <v>0</v>
      </c>
      <c r="K353" s="7" t="n">
        <f aca="false">IF(E353+F353=0,"",E353/(E353+F353))</f>
        <v>1</v>
      </c>
      <c r="L353" s="13" t="str">
        <f aca="false">IF(E353+I353&gt;0,"Yes","No")</f>
        <v>Yes</v>
      </c>
      <c r="M353" s="14" t="s">
        <v>726</v>
      </c>
    </row>
    <row r="354" customFormat="false" ht="15" hidden="false" customHeight="false" outlineLevel="0" collapsed="false">
      <c r="A354" s="9" t="n">
        <v>389</v>
      </c>
      <c r="B354" s="9" t="s">
        <v>727</v>
      </c>
      <c r="C354" s="10" t="n">
        <v>4</v>
      </c>
      <c r="D354" s="10" t="n">
        <v>3</v>
      </c>
      <c r="E354" s="10" t="n">
        <v>7</v>
      </c>
      <c r="F354" s="10" t="n">
        <v>0</v>
      </c>
      <c r="G354" s="10" t="n">
        <v>2</v>
      </c>
      <c r="H354" s="10" t="n">
        <v>0</v>
      </c>
      <c r="I354" s="10" t="n">
        <v>2</v>
      </c>
      <c r="J354" s="10" t="n">
        <v>0</v>
      </c>
      <c r="K354" s="11" t="n">
        <f aca="false">IF(E354+F354=0,"",E354/(E354+F354))</f>
        <v>1</v>
      </c>
      <c r="L354" s="9" t="str">
        <f aca="false">IF(E354+I354&gt;0,"Yes","No")</f>
        <v>Yes</v>
      </c>
      <c r="M354" s="12" t="s">
        <v>728</v>
      </c>
    </row>
    <row r="355" customFormat="false" ht="15" hidden="false" customHeight="false" outlineLevel="0" collapsed="false">
      <c r="A355" s="13" t="n">
        <v>437</v>
      </c>
      <c r="B355" s="13" t="s">
        <v>729</v>
      </c>
      <c r="C355" s="6" t="n">
        <v>6</v>
      </c>
      <c r="D355" s="6" t="n">
        <v>1</v>
      </c>
      <c r="E355" s="6" t="n">
        <v>7</v>
      </c>
      <c r="F355" s="6" t="n">
        <v>0</v>
      </c>
      <c r="G355" s="6" t="n">
        <v>2</v>
      </c>
      <c r="H355" s="6" t="n">
        <v>0</v>
      </c>
      <c r="I355" s="6" t="n">
        <v>2</v>
      </c>
      <c r="J355" s="6" t="n">
        <v>0</v>
      </c>
      <c r="K355" s="7" t="n">
        <f aca="false">IF(E355+F355=0,"",E355/(E355+F355))</f>
        <v>1</v>
      </c>
      <c r="L355" s="13" t="str">
        <f aca="false">IF(E355+I355&gt;0,"Yes","No")</f>
        <v>Yes</v>
      </c>
      <c r="M355" s="14" t="s">
        <v>730</v>
      </c>
    </row>
    <row r="356" customFormat="false" ht="15" hidden="false" customHeight="false" outlineLevel="0" collapsed="false">
      <c r="A356" s="9" t="n">
        <v>439</v>
      </c>
      <c r="B356" s="9" t="s">
        <v>731</v>
      </c>
      <c r="C356" s="10" t="n">
        <v>2</v>
      </c>
      <c r="D356" s="10" t="n">
        <v>5</v>
      </c>
      <c r="E356" s="10" t="n">
        <v>7</v>
      </c>
      <c r="F356" s="10" t="n">
        <v>0</v>
      </c>
      <c r="G356" s="10" t="n">
        <v>0</v>
      </c>
      <c r="H356" s="10" t="n">
        <v>2</v>
      </c>
      <c r="I356" s="10" t="n">
        <v>2</v>
      </c>
      <c r="J356" s="10" t="n">
        <v>0</v>
      </c>
      <c r="K356" s="11" t="n">
        <f aca="false">IF(E356+F356=0,"",E356/(E356+F356))</f>
        <v>1</v>
      </c>
      <c r="L356" s="9" t="str">
        <f aca="false">IF(E356+I356&gt;0,"Yes","No")</f>
        <v>Yes</v>
      </c>
      <c r="M356" s="12" t="s">
        <v>732</v>
      </c>
    </row>
    <row r="357" customFormat="false" ht="15" hidden="false" customHeight="false" outlineLevel="0" collapsed="false">
      <c r="A357" s="13" t="n">
        <v>455</v>
      </c>
      <c r="B357" s="13" t="s">
        <v>733</v>
      </c>
      <c r="C357" s="6" t="n">
        <v>6</v>
      </c>
      <c r="D357" s="6" t="n">
        <v>1</v>
      </c>
      <c r="E357" s="6" t="n">
        <v>7</v>
      </c>
      <c r="F357" s="6" t="n">
        <v>0</v>
      </c>
      <c r="G357" s="6" t="n">
        <v>0</v>
      </c>
      <c r="H357" s="6" t="n">
        <v>2</v>
      </c>
      <c r="I357" s="6" t="n">
        <v>2</v>
      </c>
      <c r="J357" s="6" t="n">
        <v>0</v>
      </c>
      <c r="K357" s="7" t="n">
        <f aca="false">IF(E357+F357=0,"",E357/(E357+F357))</f>
        <v>1</v>
      </c>
      <c r="L357" s="13" t="str">
        <f aca="false">IF(E357+I357&gt;0,"Yes","No")</f>
        <v>Yes</v>
      </c>
      <c r="M357" s="14" t="s">
        <v>734</v>
      </c>
    </row>
    <row r="358" customFormat="false" ht="15" hidden="false" customHeight="false" outlineLevel="0" collapsed="false">
      <c r="A358" s="9" t="n">
        <v>457</v>
      </c>
      <c r="B358" s="9" t="s">
        <v>735</v>
      </c>
      <c r="C358" s="10" t="n">
        <v>6</v>
      </c>
      <c r="D358" s="10" t="n">
        <v>1</v>
      </c>
      <c r="E358" s="10" t="n">
        <v>7</v>
      </c>
      <c r="F358" s="10" t="n">
        <v>0</v>
      </c>
      <c r="G358" s="10" t="n">
        <v>1</v>
      </c>
      <c r="H358" s="10" t="n">
        <v>0</v>
      </c>
      <c r="I358" s="10" t="n">
        <v>1</v>
      </c>
      <c r="J358" s="10" t="n">
        <v>0</v>
      </c>
      <c r="K358" s="11" t="n">
        <f aca="false">IF(E358+F358=0,"",E358/(E358+F358))</f>
        <v>1</v>
      </c>
      <c r="L358" s="9" t="str">
        <f aca="false">IF(E358+I358&gt;0,"Yes","No")</f>
        <v>Yes</v>
      </c>
      <c r="M358" s="12" t="s">
        <v>736</v>
      </c>
    </row>
    <row r="359" customFormat="false" ht="15" hidden="false" customHeight="false" outlineLevel="0" collapsed="false">
      <c r="A359" s="13" t="n">
        <v>425</v>
      </c>
      <c r="B359" s="13" t="s">
        <v>737</v>
      </c>
      <c r="C359" s="6" t="n">
        <v>5</v>
      </c>
      <c r="D359" s="6" t="n">
        <v>2</v>
      </c>
      <c r="E359" s="6" t="n">
        <v>7</v>
      </c>
      <c r="F359" s="6" t="n">
        <v>0</v>
      </c>
      <c r="G359" s="6" t="n">
        <v>0</v>
      </c>
      <c r="H359" s="6" t="n">
        <v>0</v>
      </c>
      <c r="I359" s="6" t="n">
        <v>0</v>
      </c>
      <c r="J359" s="6" t="n">
        <v>0</v>
      </c>
      <c r="K359" s="7" t="n">
        <f aca="false">IF(E359+F359=0,"",E359/(E359+F359))</f>
        <v>1</v>
      </c>
      <c r="L359" s="13" t="str">
        <f aca="false">IF(E359+I359&gt;0,"Yes","No")</f>
        <v>Yes</v>
      </c>
      <c r="M359" s="14" t="s">
        <v>738</v>
      </c>
    </row>
    <row r="360" customFormat="false" ht="15" hidden="false" customHeight="false" outlineLevel="0" collapsed="false">
      <c r="A360" s="9" t="n">
        <v>430</v>
      </c>
      <c r="B360" s="9" t="s">
        <v>739</v>
      </c>
      <c r="C360" s="10" t="n">
        <v>3</v>
      </c>
      <c r="D360" s="10" t="n">
        <v>4</v>
      </c>
      <c r="E360" s="10" t="n">
        <v>7</v>
      </c>
      <c r="F360" s="10" t="n">
        <v>0</v>
      </c>
      <c r="G360" s="10" t="n">
        <v>0</v>
      </c>
      <c r="H360" s="10" t="n">
        <v>0</v>
      </c>
      <c r="I360" s="10" t="n">
        <v>0</v>
      </c>
      <c r="J360" s="10" t="n">
        <v>0</v>
      </c>
      <c r="K360" s="11" t="n">
        <f aca="false">IF(E360+F360=0,"",E360/(E360+F360))</f>
        <v>1</v>
      </c>
      <c r="L360" s="9" t="str">
        <f aca="false">IF(E360+I360&gt;0,"Yes","No")</f>
        <v>Yes</v>
      </c>
      <c r="M360" s="12" t="s">
        <v>740</v>
      </c>
    </row>
    <row r="361" customFormat="false" ht="15" hidden="false" customHeight="false" outlineLevel="0" collapsed="false">
      <c r="A361" s="13" t="n">
        <v>135</v>
      </c>
      <c r="B361" s="13" t="s">
        <v>741</v>
      </c>
      <c r="C361" s="6" t="n">
        <v>3</v>
      </c>
      <c r="D361" s="6" t="n">
        <v>3</v>
      </c>
      <c r="E361" s="6" t="n">
        <v>6</v>
      </c>
      <c r="F361" s="6" t="n">
        <v>0</v>
      </c>
      <c r="G361" s="6" t="n">
        <v>0</v>
      </c>
      <c r="H361" s="6" t="n">
        <v>1</v>
      </c>
      <c r="I361" s="6" t="n">
        <v>1</v>
      </c>
      <c r="J361" s="6" t="n">
        <v>0</v>
      </c>
      <c r="K361" s="7" t="n">
        <f aca="false">IF(E361+F361=0,"",E361/(E361+F361))</f>
        <v>1</v>
      </c>
      <c r="L361" s="13" t="str">
        <f aca="false">IF(E361+I361&gt;0,"Yes","No")</f>
        <v>Yes</v>
      </c>
      <c r="M361" s="14" t="s">
        <v>742</v>
      </c>
    </row>
    <row r="362" customFormat="false" ht="15" hidden="false" customHeight="false" outlineLevel="0" collapsed="false">
      <c r="A362" s="9" t="n">
        <v>372</v>
      </c>
      <c r="B362" s="9" t="s">
        <v>743</v>
      </c>
      <c r="C362" s="10" t="n">
        <v>1</v>
      </c>
      <c r="D362" s="10" t="n">
        <v>5</v>
      </c>
      <c r="E362" s="10" t="n">
        <v>6</v>
      </c>
      <c r="F362" s="10" t="n">
        <v>0</v>
      </c>
      <c r="G362" s="10" t="n">
        <v>0</v>
      </c>
      <c r="H362" s="10" t="n">
        <v>1</v>
      </c>
      <c r="I362" s="10" t="n">
        <v>1</v>
      </c>
      <c r="J362" s="10" t="n">
        <v>0</v>
      </c>
      <c r="K362" s="11" t="n">
        <f aca="false">IF(E362+F362=0,"",E362/(E362+F362))</f>
        <v>1</v>
      </c>
      <c r="L362" s="9" t="str">
        <f aca="false">IF(E362+I362&gt;0,"Yes","No")</f>
        <v>Yes</v>
      </c>
      <c r="M362" s="12" t="s">
        <v>744</v>
      </c>
    </row>
    <row r="363" customFormat="false" ht="15" hidden="false" customHeight="false" outlineLevel="0" collapsed="false">
      <c r="A363" s="13" t="n">
        <v>394</v>
      </c>
      <c r="B363" s="13" t="s">
        <v>745</v>
      </c>
      <c r="C363" s="6" t="n">
        <v>2</v>
      </c>
      <c r="D363" s="6" t="n">
        <v>4</v>
      </c>
      <c r="E363" s="6" t="n">
        <v>6</v>
      </c>
      <c r="F363" s="6" t="n">
        <v>0</v>
      </c>
      <c r="G363" s="6" t="n">
        <v>1</v>
      </c>
      <c r="H363" s="6" t="n">
        <v>0</v>
      </c>
      <c r="I363" s="6" t="n">
        <v>1</v>
      </c>
      <c r="J363" s="6" t="n">
        <v>0</v>
      </c>
      <c r="K363" s="7" t="n">
        <f aca="false">IF(E363+F363=0,"",E363/(E363+F363))</f>
        <v>1</v>
      </c>
      <c r="L363" s="13" t="str">
        <f aca="false">IF(E363+I363&gt;0,"Yes","No")</f>
        <v>Yes</v>
      </c>
      <c r="M363" s="14" t="s">
        <v>746</v>
      </c>
    </row>
    <row r="364" customFormat="false" ht="15" hidden="false" customHeight="false" outlineLevel="0" collapsed="false">
      <c r="A364" s="9" t="n">
        <v>466</v>
      </c>
      <c r="B364" s="9" t="s">
        <v>747</v>
      </c>
      <c r="C364" s="10" t="n">
        <v>6</v>
      </c>
      <c r="D364" s="10" t="n">
        <v>0</v>
      </c>
      <c r="E364" s="10" t="n">
        <v>6</v>
      </c>
      <c r="F364" s="10" t="n">
        <v>0</v>
      </c>
      <c r="G364" s="10" t="n">
        <v>1</v>
      </c>
      <c r="H364" s="10" t="n">
        <v>0</v>
      </c>
      <c r="I364" s="10" t="n">
        <v>1</v>
      </c>
      <c r="J364" s="10" t="n">
        <v>0</v>
      </c>
      <c r="K364" s="11" t="n">
        <f aca="false">IF(E364+F364=0,"",E364/(E364+F364))</f>
        <v>1</v>
      </c>
      <c r="L364" s="9" t="str">
        <f aca="false">IF(E364+I364&gt;0,"Yes","No")</f>
        <v>Yes</v>
      </c>
      <c r="M364" s="12" t="s">
        <v>748</v>
      </c>
    </row>
    <row r="365" customFormat="false" ht="15" hidden="false" customHeight="false" outlineLevel="0" collapsed="false">
      <c r="A365" s="13" t="n">
        <v>223</v>
      </c>
      <c r="B365" s="13" t="s">
        <v>749</v>
      </c>
      <c r="C365" s="6" t="n">
        <v>3</v>
      </c>
      <c r="D365" s="6" t="n">
        <v>3</v>
      </c>
      <c r="E365" s="6" t="n">
        <v>6</v>
      </c>
      <c r="F365" s="6" t="n">
        <v>0</v>
      </c>
      <c r="G365" s="6" t="n">
        <v>0</v>
      </c>
      <c r="H365" s="6" t="n">
        <v>0</v>
      </c>
      <c r="I365" s="6" t="n">
        <v>0</v>
      </c>
      <c r="J365" s="6" t="n">
        <v>0</v>
      </c>
      <c r="K365" s="7" t="n">
        <f aca="false">IF(E365+F365=0,"",E365/(E365+F365))</f>
        <v>1</v>
      </c>
      <c r="L365" s="13" t="str">
        <f aca="false">IF(E365+I365&gt;0,"Yes","No")</f>
        <v>Yes</v>
      </c>
      <c r="M365" s="14" t="s">
        <v>750</v>
      </c>
    </row>
    <row r="366" customFormat="false" ht="15" hidden="false" customHeight="false" outlineLevel="0" collapsed="false">
      <c r="A366" s="9" t="n">
        <v>420</v>
      </c>
      <c r="B366" s="9" t="s">
        <v>751</v>
      </c>
      <c r="C366" s="10" t="n">
        <v>3</v>
      </c>
      <c r="D366" s="10" t="n">
        <v>3</v>
      </c>
      <c r="E366" s="10" t="n">
        <v>6</v>
      </c>
      <c r="F366" s="10" t="n">
        <v>0</v>
      </c>
      <c r="G366" s="10" t="n">
        <v>0</v>
      </c>
      <c r="H366" s="10" t="n">
        <v>0</v>
      </c>
      <c r="I366" s="10" t="n">
        <v>0</v>
      </c>
      <c r="J366" s="10" t="n">
        <v>0</v>
      </c>
      <c r="K366" s="11" t="n">
        <f aca="false">IF(E366+F366=0,"",E366/(E366+F366))</f>
        <v>1</v>
      </c>
      <c r="L366" s="9" t="str">
        <f aca="false">IF(E366+I366&gt;0,"Yes","No")</f>
        <v>Yes</v>
      </c>
      <c r="M366" s="12" t="s">
        <v>752</v>
      </c>
    </row>
    <row r="367" customFormat="false" ht="15" hidden="false" customHeight="false" outlineLevel="0" collapsed="false">
      <c r="A367" s="13" t="n">
        <v>343</v>
      </c>
      <c r="B367" s="13" t="s">
        <v>753</v>
      </c>
      <c r="C367" s="6" t="n">
        <v>4</v>
      </c>
      <c r="D367" s="6" t="n">
        <v>1</v>
      </c>
      <c r="E367" s="6" t="n">
        <v>5</v>
      </c>
      <c r="F367" s="6" t="n">
        <v>0</v>
      </c>
      <c r="G367" s="6" t="n">
        <v>2</v>
      </c>
      <c r="H367" s="6" t="n">
        <v>0</v>
      </c>
      <c r="I367" s="6" t="n">
        <v>2</v>
      </c>
      <c r="J367" s="6" t="n">
        <v>0</v>
      </c>
      <c r="K367" s="7" t="n">
        <f aca="false">IF(E367+F367=0,"",E367/(E367+F367))</f>
        <v>1</v>
      </c>
      <c r="L367" s="13" t="str">
        <f aca="false">IF(E367+I367&gt;0,"Yes","No")</f>
        <v>Yes</v>
      </c>
      <c r="M367" s="14" t="s">
        <v>754</v>
      </c>
    </row>
    <row r="368" customFormat="false" ht="15" hidden="false" customHeight="false" outlineLevel="0" collapsed="false">
      <c r="A368" s="9" t="n">
        <v>354</v>
      </c>
      <c r="B368" s="9" t="s">
        <v>755</v>
      </c>
      <c r="C368" s="10" t="n">
        <v>4</v>
      </c>
      <c r="D368" s="10" t="n">
        <v>1</v>
      </c>
      <c r="E368" s="10" t="n">
        <v>5</v>
      </c>
      <c r="F368" s="10" t="n">
        <v>0</v>
      </c>
      <c r="G368" s="10" t="n">
        <v>2</v>
      </c>
      <c r="H368" s="10" t="n">
        <v>0</v>
      </c>
      <c r="I368" s="10" t="n">
        <v>2</v>
      </c>
      <c r="J368" s="10" t="n">
        <v>0</v>
      </c>
      <c r="K368" s="11" t="n">
        <f aca="false">IF(E368+F368=0,"",E368/(E368+F368))</f>
        <v>1</v>
      </c>
      <c r="L368" s="9" t="str">
        <f aca="false">IF(E368+I368&gt;0,"Yes","No")</f>
        <v>Yes</v>
      </c>
      <c r="M368" s="12" t="s">
        <v>756</v>
      </c>
    </row>
    <row r="369" customFormat="false" ht="15" hidden="false" customHeight="false" outlineLevel="0" collapsed="false">
      <c r="A369" s="13" t="n">
        <v>448</v>
      </c>
      <c r="B369" s="13" t="s">
        <v>757</v>
      </c>
      <c r="C369" s="6" t="n">
        <v>3</v>
      </c>
      <c r="D369" s="6" t="n">
        <v>2</v>
      </c>
      <c r="E369" s="6" t="n">
        <v>5</v>
      </c>
      <c r="F369" s="6" t="n">
        <v>0</v>
      </c>
      <c r="G369" s="6" t="n">
        <v>2</v>
      </c>
      <c r="H369" s="6" t="n">
        <v>0</v>
      </c>
      <c r="I369" s="6" t="n">
        <v>2</v>
      </c>
      <c r="J369" s="6" t="n">
        <v>0</v>
      </c>
      <c r="K369" s="7" t="n">
        <f aca="false">IF(E369+F369=0,"",E369/(E369+F369))</f>
        <v>1</v>
      </c>
      <c r="L369" s="13" t="str">
        <f aca="false">IF(E369+I369&gt;0,"Yes","No")</f>
        <v>Yes</v>
      </c>
      <c r="M369" s="14" t="s">
        <v>758</v>
      </c>
    </row>
    <row r="370" customFormat="false" ht="15" hidden="false" customHeight="false" outlineLevel="0" collapsed="false">
      <c r="A370" s="9" t="n">
        <v>128</v>
      </c>
      <c r="B370" s="9" t="s">
        <v>759</v>
      </c>
      <c r="C370" s="10" t="n">
        <v>2</v>
      </c>
      <c r="D370" s="10" t="n">
        <v>3</v>
      </c>
      <c r="E370" s="10" t="n">
        <v>5</v>
      </c>
      <c r="F370" s="10" t="n">
        <v>0</v>
      </c>
      <c r="G370" s="10" t="n">
        <v>1</v>
      </c>
      <c r="H370" s="10" t="n">
        <v>0</v>
      </c>
      <c r="I370" s="10" t="n">
        <v>1</v>
      </c>
      <c r="J370" s="10" t="n">
        <v>0</v>
      </c>
      <c r="K370" s="11" t="n">
        <f aca="false">IF(E370+F370=0,"",E370/(E370+F370))</f>
        <v>1</v>
      </c>
      <c r="L370" s="9" t="str">
        <f aca="false">IF(E370+I370&gt;0,"Yes","No")</f>
        <v>Yes</v>
      </c>
      <c r="M370" s="12" t="s">
        <v>760</v>
      </c>
    </row>
    <row r="371" customFormat="false" ht="15" hidden="false" customHeight="false" outlineLevel="0" collapsed="false">
      <c r="A371" s="13" t="n">
        <v>136</v>
      </c>
      <c r="B371" s="13" t="s">
        <v>761</v>
      </c>
      <c r="C371" s="6" t="n">
        <v>1</v>
      </c>
      <c r="D371" s="6" t="n">
        <v>4</v>
      </c>
      <c r="E371" s="6" t="n">
        <v>5</v>
      </c>
      <c r="F371" s="6" t="n">
        <v>0</v>
      </c>
      <c r="G371" s="6" t="n">
        <v>1</v>
      </c>
      <c r="H371" s="6" t="n">
        <v>0</v>
      </c>
      <c r="I371" s="6" t="n">
        <v>1</v>
      </c>
      <c r="J371" s="6" t="n">
        <v>0</v>
      </c>
      <c r="K371" s="7" t="n">
        <f aca="false">IF(E371+F371=0,"",E371/(E371+F371))</f>
        <v>1</v>
      </c>
      <c r="L371" s="13" t="str">
        <f aca="false">IF(E371+I371&gt;0,"Yes","No")</f>
        <v>Yes</v>
      </c>
      <c r="M371" s="14" t="s">
        <v>762</v>
      </c>
    </row>
    <row r="372" customFormat="false" ht="15" hidden="false" customHeight="false" outlineLevel="0" collapsed="false">
      <c r="A372" s="9" t="n">
        <v>70</v>
      </c>
      <c r="B372" s="9" t="s">
        <v>763</v>
      </c>
      <c r="C372" s="10" t="n">
        <v>1</v>
      </c>
      <c r="D372" s="10" t="n">
        <v>4</v>
      </c>
      <c r="E372" s="10" t="n">
        <v>5</v>
      </c>
      <c r="F372" s="10" t="n">
        <v>0</v>
      </c>
      <c r="G372" s="10" t="n">
        <v>0</v>
      </c>
      <c r="H372" s="10" t="n">
        <v>0</v>
      </c>
      <c r="I372" s="10" t="n">
        <v>0</v>
      </c>
      <c r="J372" s="10" t="n">
        <v>0</v>
      </c>
      <c r="K372" s="11" t="n">
        <f aca="false">IF(E372+F372=0,"",E372/(E372+F372))</f>
        <v>1</v>
      </c>
      <c r="L372" s="9" t="str">
        <f aca="false">IF(E372+I372&gt;0,"Yes","No")</f>
        <v>Yes</v>
      </c>
      <c r="M372" s="12" t="s">
        <v>764</v>
      </c>
    </row>
    <row r="373" customFormat="false" ht="15" hidden="false" customHeight="false" outlineLevel="0" collapsed="false">
      <c r="A373" s="13" t="n">
        <v>188</v>
      </c>
      <c r="B373" s="13" t="s">
        <v>765</v>
      </c>
      <c r="C373" s="6" t="n">
        <v>3</v>
      </c>
      <c r="D373" s="6" t="n">
        <v>2</v>
      </c>
      <c r="E373" s="6" t="n">
        <v>5</v>
      </c>
      <c r="F373" s="6" t="n">
        <v>0</v>
      </c>
      <c r="G373" s="6" t="n">
        <v>0</v>
      </c>
      <c r="H373" s="6" t="n">
        <v>0</v>
      </c>
      <c r="I373" s="6" t="n">
        <v>0</v>
      </c>
      <c r="J373" s="6" t="n">
        <v>0</v>
      </c>
      <c r="K373" s="7" t="n">
        <f aca="false">IF(E373+F373=0,"",E373/(E373+F373))</f>
        <v>1</v>
      </c>
      <c r="L373" s="13" t="str">
        <f aca="false">IF(E373+I373&gt;0,"Yes","No")</f>
        <v>Yes</v>
      </c>
      <c r="M373" s="14" t="s">
        <v>766</v>
      </c>
    </row>
    <row r="374" customFormat="false" ht="15" hidden="false" customHeight="false" outlineLevel="0" collapsed="false">
      <c r="A374" s="9" t="n">
        <v>212</v>
      </c>
      <c r="B374" s="9" t="s">
        <v>767</v>
      </c>
      <c r="C374" s="10" t="n">
        <v>4</v>
      </c>
      <c r="D374" s="10" t="n">
        <v>1</v>
      </c>
      <c r="E374" s="10" t="n">
        <v>5</v>
      </c>
      <c r="F374" s="10" t="n">
        <v>0</v>
      </c>
      <c r="G374" s="10" t="n">
        <v>0</v>
      </c>
      <c r="H374" s="10" t="n">
        <v>0</v>
      </c>
      <c r="I374" s="10" t="n">
        <v>0</v>
      </c>
      <c r="J374" s="10" t="n">
        <v>0</v>
      </c>
      <c r="K374" s="11" t="n">
        <f aca="false">IF(E374+F374=0,"",E374/(E374+F374))</f>
        <v>1</v>
      </c>
      <c r="L374" s="9" t="str">
        <f aca="false">IF(E374+I374&gt;0,"Yes","No")</f>
        <v>Yes</v>
      </c>
      <c r="M374" s="12" t="s">
        <v>768</v>
      </c>
    </row>
    <row r="375" customFormat="false" ht="15" hidden="false" customHeight="false" outlineLevel="0" collapsed="false">
      <c r="A375" s="13" t="n">
        <v>325</v>
      </c>
      <c r="B375" s="13" t="s">
        <v>769</v>
      </c>
      <c r="C375" s="6" t="n">
        <v>2</v>
      </c>
      <c r="D375" s="6" t="n">
        <v>2</v>
      </c>
      <c r="E375" s="6" t="n">
        <v>4</v>
      </c>
      <c r="F375" s="6" t="n">
        <v>0</v>
      </c>
      <c r="G375" s="6" t="n">
        <v>3</v>
      </c>
      <c r="H375" s="6" t="n">
        <v>1</v>
      </c>
      <c r="I375" s="6" t="n">
        <v>4</v>
      </c>
      <c r="J375" s="6" t="n">
        <v>0</v>
      </c>
      <c r="K375" s="7" t="n">
        <f aca="false">IF(E375+F375=0,"",E375/(E375+F375))</f>
        <v>1</v>
      </c>
      <c r="L375" s="13" t="str">
        <f aca="false">IF(E375+I375&gt;0,"Yes","No")</f>
        <v>Yes</v>
      </c>
      <c r="M375" s="14" t="s">
        <v>770</v>
      </c>
    </row>
    <row r="376" customFormat="false" ht="15" hidden="false" customHeight="false" outlineLevel="0" collapsed="false">
      <c r="A376" s="9" t="n">
        <v>155</v>
      </c>
      <c r="B376" s="9" t="s">
        <v>771</v>
      </c>
      <c r="C376" s="10" t="n">
        <v>4</v>
      </c>
      <c r="D376" s="10" t="n">
        <v>0</v>
      </c>
      <c r="E376" s="10" t="n">
        <v>4</v>
      </c>
      <c r="F376" s="10" t="n">
        <v>0</v>
      </c>
      <c r="G376" s="10" t="n">
        <v>2</v>
      </c>
      <c r="H376" s="10" t="n">
        <v>1</v>
      </c>
      <c r="I376" s="10" t="n">
        <v>3</v>
      </c>
      <c r="J376" s="10" t="n">
        <v>0</v>
      </c>
      <c r="K376" s="11" t="n">
        <f aca="false">IF(E376+F376=0,"",E376/(E376+F376))</f>
        <v>1</v>
      </c>
      <c r="L376" s="9" t="str">
        <f aca="false">IF(E376+I376&gt;0,"Yes","No")</f>
        <v>Yes</v>
      </c>
      <c r="M376" s="12" t="s">
        <v>772</v>
      </c>
    </row>
    <row r="377" customFormat="false" ht="15" hidden="false" customHeight="false" outlineLevel="0" collapsed="false">
      <c r="A377" s="13" t="n">
        <v>462</v>
      </c>
      <c r="B377" s="13" t="s">
        <v>773</v>
      </c>
      <c r="C377" s="6" t="n">
        <v>1</v>
      </c>
      <c r="D377" s="6" t="n">
        <v>3</v>
      </c>
      <c r="E377" s="6" t="n">
        <v>4</v>
      </c>
      <c r="F377" s="6" t="n">
        <v>0</v>
      </c>
      <c r="G377" s="6" t="n">
        <v>3</v>
      </c>
      <c r="H377" s="6" t="n">
        <v>0</v>
      </c>
      <c r="I377" s="6" t="n">
        <v>3</v>
      </c>
      <c r="J377" s="6" t="n">
        <v>0</v>
      </c>
      <c r="K377" s="7" t="n">
        <f aca="false">IF(E377+F377=0,"",E377/(E377+F377))</f>
        <v>1</v>
      </c>
      <c r="L377" s="13" t="str">
        <f aca="false">IF(E377+I377&gt;0,"Yes","No")</f>
        <v>Yes</v>
      </c>
      <c r="M377" s="14" t="s">
        <v>774</v>
      </c>
    </row>
    <row r="378" customFormat="false" ht="15" hidden="false" customHeight="false" outlineLevel="0" collapsed="false">
      <c r="A378" s="9" t="n">
        <v>54</v>
      </c>
      <c r="B378" s="9" t="s">
        <v>775</v>
      </c>
      <c r="C378" s="10" t="n">
        <v>0</v>
      </c>
      <c r="D378" s="10" t="n">
        <v>4</v>
      </c>
      <c r="E378" s="10" t="n">
        <v>4</v>
      </c>
      <c r="F378" s="10" t="n">
        <v>1</v>
      </c>
      <c r="G378" s="10" t="n">
        <v>0</v>
      </c>
      <c r="H378" s="10" t="n">
        <v>2</v>
      </c>
      <c r="I378" s="10" t="n">
        <v>2</v>
      </c>
      <c r="J378" s="10" t="n">
        <v>0</v>
      </c>
      <c r="K378" s="11" t="n">
        <f aca="false">IF(E378+F378=0,"",E378/(E378+F378))</f>
        <v>0.8</v>
      </c>
      <c r="L378" s="9" t="str">
        <f aca="false">IF(E378+I378&gt;0,"Yes","No")</f>
        <v>Yes</v>
      </c>
      <c r="M378" s="12" t="s">
        <v>776</v>
      </c>
    </row>
    <row r="379" customFormat="false" ht="15" hidden="false" customHeight="false" outlineLevel="0" collapsed="false">
      <c r="A379" s="13" t="n">
        <v>340</v>
      </c>
      <c r="B379" s="13" t="s">
        <v>777</v>
      </c>
      <c r="C379" s="6" t="n">
        <v>2</v>
      </c>
      <c r="D379" s="6" t="n">
        <v>2</v>
      </c>
      <c r="E379" s="6" t="n">
        <v>4</v>
      </c>
      <c r="F379" s="6" t="n">
        <v>0</v>
      </c>
      <c r="G379" s="6" t="n">
        <v>1</v>
      </c>
      <c r="H379" s="6" t="n">
        <v>1</v>
      </c>
      <c r="I379" s="6" t="n">
        <v>2</v>
      </c>
      <c r="J379" s="6" t="n">
        <v>1</v>
      </c>
      <c r="K379" s="7" t="n">
        <f aca="false">IF(E379+F379=0,"",E379/(E379+F379))</f>
        <v>1</v>
      </c>
      <c r="L379" s="13" t="str">
        <f aca="false">IF(E379+I379&gt;0,"Yes","No")</f>
        <v>Yes</v>
      </c>
      <c r="M379" s="14" t="s">
        <v>778</v>
      </c>
    </row>
    <row r="380" customFormat="false" ht="15" hidden="false" customHeight="false" outlineLevel="0" collapsed="false">
      <c r="A380" s="9" t="n">
        <v>189</v>
      </c>
      <c r="B380" s="9" t="s">
        <v>779</v>
      </c>
      <c r="C380" s="10" t="n">
        <v>3</v>
      </c>
      <c r="D380" s="10" t="n">
        <v>1</v>
      </c>
      <c r="E380" s="10" t="n">
        <v>4</v>
      </c>
      <c r="F380" s="10" t="n">
        <v>0</v>
      </c>
      <c r="G380" s="10" t="n">
        <v>1</v>
      </c>
      <c r="H380" s="10" t="n">
        <v>0</v>
      </c>
      <c r="I380" s="10" t="n">
        <v>1</v>
      </c>
      <c r="J380" s="10" t="n">
        <v>0</v>
      </c>
      <c r="K380" s="11" t="n">
        <f aca="false">IF(E380+F380=0,"",E380/(E380+F380))</f>
        <v>1</v>
      </c>
      <c r="L380" s="9" t="str">
        <f aca="false">IF(E380+I380&gt;0,"Yes","No")</f>
        <v>Yes</v>
      </c>
      <c r="M380" s="12" t="s">
        <v>780</v>
      </c>
    </row>
    <row r="381" customFormat="false" ht="15" hidden="false" customHeight="false" outlineLevel="0" collapsed="false">
      <c r="A381" s="13" t="n">
        <v>308</v>
      </c>
      <c r="B381" s="13" t="s">
        <v>781</v>
      </c>
      <c r="C381" s="6" t="n">
        <v>3</v>
      </c>
      <c r="D381" s="6" t="n">
        <v>1</v>
      </c>
      <c r="E381" s="6" t="n">
        <v>4</v>
      </c>
      <c r="F381" s="6" t="n">
        <v>0</v>
      </c>
      <c r="G381" s="6" t="n">
        <v>0</v>
      </c>
      <c r="H381" s="6" t="n">
        <v>1</v>
      </c>
      <c r="I381" s="6" t="n">
        <v>1</v>
      </c>
      <c r="J381" s="6" t="n">
        <v>0</v>
      </c>
      <c r="K381" s="7" t="n">
        <f aca="false">IF(E381+F381=0,"",E381/(E381+F381))</f>
        <v>1</v>
      </c>
      <c r="L381" s="13" t="str">
        <f aca="false">IF(E381+I381&gt;0,"Yes","No")</f>
        <v>Yes</v>
      </c>
      <c r="M381" s="14" t="s">
        <v>782</v>
      </c>
    </row>
    <row r="382" customFormat="false" ht="15" hidden="false" customHeight="false" outlineLevel="0" collapsed="false">
      <c r="A382" s="9" t="n">
        <v>391</v>
      </c>
      <c r="B382" s="9" t="s">
        <v>783</v>
      </c>
      <c r="C382" s="10" t="n">
        <v>2</v>
      </c>
      <c r="D382" s="10" t="n">
        <v>2</v>
      </c>
      <c r="E382" s="10" t="n">
        <v>4</v>
      </c>
      <c r="F382" s="10" t="n">
        <v>0</v>
      </c>
      <c r="G382" s="10" t="n">
        <v>1</v>
      </c>
      <c r="H382" s="10" t="n">
        <v>0</v>
      </c>
      <c r="I382" s="10" t="n">
        <v>1</v>
      </c>
      <c r="J382" s="10" t="n">
        <v>0</v>
      </c>
      <c r="K382" s="11" t="n">
        <f aca="false">IF(E382+F382=0,"",E382/(E382+F382))</f>
        <v>1</v>
      </c>
      <c r="L382" s="9" t="str">
        <f aca="false">IF(E382+I382&gt;0,"Yes","No")</f>
        <v>Yes</v>
      </c>
      <c r="M382" s="12" t="s">
        <v>784</v>
      </c>
    </row>
    <row r="383" customFormat="false" ht="15" hidden="false" customHeight="false" outlineLevel="0" collapsed="false">
      <c r="A383" s="13" t="n">
        <v>76</v>
      </c>
      <c r="B383" s="13" t="s">
        <v>785</v>
      </c>
      <c r="C383" s="6" t="n">
        <v>3</v>
      </c>
      <c r="D383" s="6" t="n">
        <v>1</v>
      </c>
      <c r="E383" s="6" t="n">
        <v>4</v>
      </c>
      <c r="F383" s="6" t="n">
        <v>0</v>
      </c>
      <c r="G383" s="6" t="n">
        <v>0</v>
      </c>
      <c r="H383" s="6" t="n">
        <v>0</v>
      </c>
      <c r="I383" s="6" t="n">
        <v>0</v>
      </c>
      <c r="J383" s="6" t="n">
        <v>0</v>
      </c>
      <c r="K383" s="7" t="n">
        <f aca="false">IF(E383+F383=0,"",E383/(E383+F383))</f>
        <v>1</v>
      </c>
      <c r="L383" s="13" t="str">
        <f aca="false">IF(E383+I383&gt;0,"Yes","No")</f>
        <v>Yes</v>
      </c>
      <c r="M383" s="14" t="s">
        <v>786</v>
      </c>
    </row>
    <row r="384" customFormat="false" ht="15" hidden="false" customHeight="false" outlineLevel="0" collapsed="false">
      <c r="A384" s="9" t="n">
        <v>112</v>
      </c>
      <c r="B384" s="9" t="s">
        <v>787</v>
      </c>
      <c r="C384" s="10" t="n">
        <v>2</v>
      </c>
      <c r="D384" s="10" t="n">
        <v>2</v>
      </c>
      <c r="E384" s="10" t="n">
        <v>4</v>
      </c>
      <c r="F384" s="10" t="n">
        <v>1</v>
      </c>
      <c r="G384" s="10" t="n">
        <v>0</v>
      </c>
      <c r="H384" s="10" t="n">
        <v>0</v>
      </c>
      <c r="I384" s="10" t="n">
        <v>0</v>
      </c>
      <c r="J384" s="10" t="n">
        <v>0</v>
      </c>
      <c r="K384" s="11" t="n">
        <f aca="false">IF(E384+F384=0,"",E384/(E384+F384))</f>
        <v>0.8</v>
      </c>
      <c r="L384" s="9" t="str">
        <f aca="false">IF(E384+I384&gt;0,"Yes","No")</f>
        <v>Yes</v>
      </c>
      <c r="M384" s="12" t="s">
        <v>788</v>
      </c>
    </row>
    <row r="385" customFormat="false" ht="15" hidden="false" customHeight="false" outlineLevel="0" collapsed="false">
      <c r="A385" s="13" t="n">
        <v>134</v>
      </c>
      <c r="B385" s="13" t="s">
        <v>789</v>
      </c>
      <c r="C385" s="6" t="n">
        <v>1</v>
      </c>
      <c r="D385" s="6" t="n">
        <v>3</v>
      </c>
      <c r="E385" s="6" t="n">
        <v>4</v>
      </c>
      <c r="F385" s="6" t="n">
        <v>0</v>
      </c>
      <c r="G385" s="6" t="n">
        <v>0</v>
      </c>
      <c r="H385" s="6" t="n">
        <v>0</v>
      </c>
      <c r="I385" s="6" t="n">
        <v>0</v>
      </c>
      <c r="J385" s="6" t="n">
        <v>0</v>
      </c>
      <c r="K385" s="7" t="n">
        <f aca="false">IF(E385+F385=0,"",E385/(E385+F385))</f>
        <v>1</v>
      </c>
      <c r="L385" s="13" t="str">
        <f aca="false">IF(E385+I385&gt;0,"Yes","No")</f>
        <v>Yes</v>
      </c>
      <c r="M385" s="14" t="s">
        <v>790</v>
      </c>
    </row>
    <row r="386" customFormat="false" ht="15" hidden="false" customHeight="false" outlineLevel="0" collapsed="false">
      <c r="A386" s="9" t="n">
        <v>199</v>
      </c>
      <c r="B386" s="9" t="s">
        <v>791</v>
      </c>
      <c r="C386" s="10" t="n">
        <v>1</v>
      </c>
      <c r="D386" s="10" t="n">
        <v>3</v>
      </c>
      <c r="E386" s="10" t="n">
        <v>4</v>
      </c>
      <c r="F386" s="10" t="n">
        <v>0</v>
      </c>
      <c r="G386" s="10" t="n">
        <v>0</v>
      </c>
      <c r="H386" s="10" t="n">
        <v>0</v>
      </c>
      <c r="I386" s="10" t="n">
        <v>0</v>
      </c>
      <c r="J386" s="10" t="n">
        <v>0</v>
      </c>
      <c r="K386" s="11" t="n">
        <f aca="false">IF(E386+F386=0,"",E386/(E386+F386))</f>
        <v>1</v>
      </c>
      <c r="L386" s="9" t="str">
        <f aca="false">IF(E386+I386&gt;0,"Yes","No")</f>
        <v>Yes</v>
      </c>
      <c r="M386" s="12" t="s">
        <v>792</v>
      </c>
    </row>
    <row r="387" customFormat="false" ht="15" hidden="false" customHeight="false" outlineLevel="0" collapsed="false">
      <c r="A387" s="13" t="n">
        <v>283</v>
      </c>
      <c r="B387" s="13" t="s">
        <v>793</v>
      </c>
      <c r="C387" s="6" t="n">
        <v>2</v>
      </c>
      <c r="D387" s="6" t="n">
        <v>2</v>
      </c>
      <c r="E387" s="6" t="n">
        <v>4</v>
      </c>
      <c r="F387" s="6" t="n">
        <v>0</v>
      </c>
      <c r="G387" s="6" t="n">
        <v>0</v>
      </c>
      <c r="H387" s="6" t="n">
        <v>0</v>
      </c>
      <c r="I387" s="6" t="n">
        <v>0</v>
      </c>
      <c r="J387" s="6" t="n">
        <v>0</v>
      </c>
      <c r="K387" s="7" t="n">
        <f aca="false">IF(E387+F387=0,"",E387/(E387+F387))</f>
        <v>1</v>
      </c>
      <c r="L387" s="13" t="str">
        <f aca="false">IF(E387+I387&gt;0,"Yes","No")</f>
        <v>Yes</v>
      </c>
      <c r="M387" s="14" t="s">
        <v>794</v>
      </c>
    </row>
    <row r="388" customFormat="false" ht="15" hidden="false" customHeight="false" outlineLevel="0" collapsed="false">
      <c r="A388" s="9" t="n">
        <v>321</v>
      </c>
      <c r="B388" s="9" t="s">
        <v>795</v>
      </c>
      <c r="C388" s="10" t="n">
        <v>2</v>
      </c>
      <c r="D388" s="10" t="n">
        <v>2</v>
      </c>
      <c r="E388" s="10" t="n">
        <v>4</v>
      </c>
      <c r="F388" s="10" t="n">
        <v>0</v>
      </c>
      <c r="G388" s="10" t="n">
        <v>0</v>
      </c>
      <c r="H388" s="10" t="n">
        <v>0</v>
      </c>
      <c r="I388" s="10" t="n">
        <v>0</v>
      </c>
      <c r="J388" s="10" t="n">
        <v>0</v>
      </c>
      <c r="K388" s="11" t="n">
        <f aca="false">IF(E388+F388=0,"",E388/(E388+F388))</f>
        <v>1</v>
      </c>
      <c r="L388" s="9" t="str">
        <f aca="false">IF(E388+I388&gt;0,"Yes","No")</f>
        <v>Yes</v>
      </c>
      <c r="M388" s="12" t="s">
        <v>796</v>
      </c>
    </row>
    <row r="389" customFormat="false" ht="15" hidden="false" customHeight="false" outlineLevel="0" collapsed="false">
      <c r="A389" s="13" t="n">
        <v>337</v>
      </c>
      <c r="B389" s="13" t="s">
        <v>797</v>
      </c>
      <c r="C389" s="6" t="n">
        <v>3</v>
      </c>
      <c r="D389" s="6" t="n">
        <v>1</v>
      </c>
      <c r="E389" s="6" t="n">
        <v>4</v>
      </c>
      <c r="F389" s="6" t="n">
        <v>0</v>
      </c>
      <c r="G389" s="6" t="n">
        <v>0</v>
      </c>
      <c r="H389" s="6" t="n">
        <v>0</v>
      </c>
      <c r="I389" s="6" t="n">
        <v>0</v>
      </c>
      <c r="J389" s="6" t="n">
        <v>0</v>
      </c>
      <c r="K389" s="7" t="n">
        <f aca="false">IF(E389+F389=0,"",E389/(E389+F389))</f>
        <v>1</v>
      </c>
      <c r="L389" s="13" t="str">
        <f aca="false">IF(E389+I389&gt;0,"Yes","No")</f>
        <v>Yes</v>
      </c>
      <c r="M389" s="14" t="s">
        <v>798</v>
      </c>
    </row>
    <row r="390" customFormat="false" ht="15" hidden="false" customHeight="false" outlineLevel="0" collapsed="false">
      <c r="A390" s="9" t="n">
        <v>416</v>
      </c>
      <c r="B390" s="9" t="s">
        <v>799</v>
      </c>
      <c r="C390" s="10" t="n">
        <v>3</v>
      </c>
      <c r="D390" s="10" t="n">
        <v>1</v>
      </c>
      <c r="E390" s="10" t="n">
        <v>4</v>
      </c>
      <c r="F390" s="10" t="n">
        <v>0</v>
      </c>
      <c r="G390" s="10" t="n">
        <v>0</v>
      </c>
      <c r="H390" s="10" t="n">
        <v>0</v>
      </c>
      <c r="I390" s="10" t="n">
        <v>0</v>
      </c>
      <c r="J390" s="10" t="n">
        <v>0</v>
      </c>
      <c r="K390" s="11" t="n">
        <f aca="false">IF(E390+F390=0,"",E390/(E390+F390))</f>
        <v>1</v>
      </c>
      <c r="L390" s="9" t="str">
        <f aca="false">IF(E390+I390&gt;0,"Yes","No")</f>
        <v>Yes</v>
      </c>
      <c r="M390" s="12" t="s">
        <v>800</v>
      </c>
    </row>
    <row r="391" customFormat="false" ht="15" hidden="false" customHeight="false" outlineLevel="0" collapsed="false">
      <c r="A391" s="13" t="n">
        <v>428</v>
      </c>
      <c r="B391" s="13" t="s">
        <v>801</v>
      </c>
      <c r="C391" s="6" t="n">
        <v>1</v>
      </c>
      <c r="D391" s="6" t="n">
        <v>3</v>
      </c>
      <c r="E391" s="6" t="n">
        <v>4</v>
      </c>
      <c r="F391" s="6" t="n">
        <v>0</v>
      </c>
      <c r="G391" s="6" t="n">
        <v>0</v>
      </c>
      <c r="H391" s="6" t="n">
        <v>0</v>
      </c>
      <c r="I391" s="6" t="n">
        <v>0</v>
      </c>
      <c r="J391" s="6" t="n">
        <v>0</v>
      </c>
      <c r="K391" s="7" t="n">
        <f aca="false">IF(E391+F391=0,"",E391/(E391+F391))</f>
        <v>1</v>
      </c>
      <c r="L391" s="13" t="str">
        <f aca="false">IF(E391+I391&gt;0,"Yes","No")</f>
        <v>Yes</v>
      </c>
      <c r="M391" s="14" t="s">
        <v>802</v>
      </c>
    </row>
    <row r="392" customFormat="false" ht="15" hidden="false" customHeight="false" outlineLevel="0" collapsed="false">
      <c r="A392" s="9" t="n">
        <v>160</v>
      </c>
      <c r="B392" s="9" t="s">
        <v>803</v>
      </c>
      <c r="C392" s="10" t="n">
        <v>2</v>
      </c>
      <c r="D392" s="10" t="n">
        <v>1</v>
      </c>
      <c r="E392" s="10" t="n">
        <v>3</v>
      </c>
      <c r="F392" s="10" t="n">
        <v>0</v>
      </c>
      <c r="G392" s="10" t="n">
        <v>3</v>
      </c>
      <c r="H392" s="10" t="n">
        <v>0</v>
      </c>
      <c r="I392" s="10" t="n">
        <v>3</v>
      </c>
      <c r="J392" s="10" t="n">
        <v>0</v>
      </c>
      <c r="K392" s="11" t="n">
        <f aca="false">IF(E392+F392=0,"",E392/(E392+F392))</f>
        <v>1</v>
      </c>
      <c r="L392" s="9" t="str">
        <f aca="false">IF(E392+I392&gt;0,"Yes","No")</f>
        <v>Yes</v>
      </c>
      <c r="M392" s="12" t="s">
        <v>804</v>
      </c>
    </row>
    <row r="393" customFormat="false" ht="15" hidden="false" customHeight="false" outlineLevel="0" collapsed="false">
      <c r="A393" s="13" t="n">
        <v>222</v>
      </c>
      <c r="B393" s="13" t="s">
        <v>805</v>
      </c>
      <c r="C393" s="6" t="n">
        <v>3</v>
      </c>
      <c r="D393" s="6" t="n">
        <v>0</v>
      </c>
      <c r="E393" s="6" t="n">
        <v>3</v>
      </c>
      <c r="F393" s="6" t="n">
        <v>0</v>
      </c>
      <c r="G393" s="6" t="n">
        <v>3</v>
      </c>
      <c r="H393" s="6" t="n">
        <v>0</v>
      </c>
      <c r="I393" s="6" t="n">
        <v>3</v>
      </c>
      <c r="J393" s="6" t="n">
        <v>0</v>
      </c>
      <c r="K393" s="7" t="n">
        <f aca="false">IF(E393+F393=0,"",E393/(E393+F393))</f>
        <v>1</v>
      </c>
      <c r="L393" s="13" t="str">
        <f aca="false">IF(E393+I393&gt;0,"Yes","No")</f>
        <v>Yes</v>
      </c>
      <c r="M393" s="14" t="s">
        <v>806</v>
      </c>
    </row>
    <row r="394" customFormat="false" ht="15" hidden="false" customHeight="false" outlineLevel="0" collapsed="false">
      <c r="A394" s="9" t="n">
        <v>380</v>
      </c>
      <c r="B394" s="9" t="s">
        <v>807</v>
      </c>
      <c r="C394" s="10" t="n">
        <v>2</v>
      </c>
      <c r="D394" s="10" t="n">
        <v>1</v>
      </c>
      <c r="E394" s="10" t="n">
        <v>3</v>
      </c>
      <c r="F394" s="10" t="n">
        <v>0</v>
      </c>
      <c r="G394" s="10" t="n">
        <v>2</v>
      </c>
      <c r="H394" s="10" t="n">
        <v>1</v>
      </c>
      <c r="I394" s="10" t="n">
        <v>3</v>
      </c>
      <c r="J394" s="10" t="n">
        <v>0</v>
      </c>
      <c r="K394" s="11" t="n">
        <f aca="false">IF(E394+F394=0,"",E394/(E394+F394))</f>
        <v>1</v>
      </c>
      <c r="L394" s="9" t="str">
        <f aca="false">IF(E394+I394&gt;0,"Yes","No")</f>
        <v>Yes</v>
      </c>
      <c r="M394" s="12" t="s">
        <v>808</v>
      </c>
    </row>
    <row r="395" customFormat="false" ht="15" hidden="false" customHeight="false" outlineLevel="0" collapsed="false">
      <c r="A395" s="13" t="n">
        <v>286</v>
      </c>
      <c r="B395" s="13" t="s">
        <v>809</v>
      </c>
      <c r="C395" s="6" t="n">
        <v>2</v>
      </c>
      <c r="D395" s="6" t="n">
        <v>1</v>
      </c>
      <c r="E395" s="6" t="n">
        <v>3</v>
      </c>
      <c r="F395" s="6" t="n">
        <v>0</v>
      </c>
      <c r="G395" s="6" t="n">
        <v>1</v>
      </c>
      <c r="H395" s="6" t="n">
        <v>0</v>
      </c>
      <c r="I395" s="6" t="n">
        <v>1</v>
      </c>
      <c r="J395" s="6" t="n">
        <v>0</v>
      </c>
      <c r="K395" s="7" t="n">
        <f aca="false">IF(E395+F395=0,"",E395/(E395+F395))</f>
        <v>1</v>
      </c>
      <c r="L395" s="13" t="str">
        <f aca="false">IF(E395+I395&gt;0,"Yes","No")</f>
        <v>Yes</v>
      </c>
      <c r="M395" s="14" t="s">
        <v>810</v>
      </c>
    </row>
    <row r="396" customFormat="false" ht="15" hidden="false" customHeight="false" outlineLevel="0" collapsed="false">
      <c r="A396" s="9" t="n">
        <v>228</v>
      </c>
      <c r="B396" s="9" t="s">
        <v>811</v>
      </c>
      <c r="C396" s="10" t="n">
        <v>1</v>
      </c>
      <c r="D396" s="10" t="n">
        <v>2</v>
      </c>
      <c r="E396" s="10" t="n">
        <v>3</v>
      </c>
      <c r="F396" s="10" t="n">
        <v>0</v>
      </c>
      <c r="G396" s="10" t="n">
        <v>0</v>
      </c>
      <c r="H396" s="10" t="n">
        <v>0</v>
      </c>
      <c r="I396" s="10" t="n">
        <v>0</v>
      </c>
      <c r="J396" s="10" t="n">
        <v>0</v>
      </c>
      <c r="K396" s="11" t="n">
        <f aca="false">IF(E396+F396=0,"",E396/(E396+F396))</f>
        <v>1</v>
      </c>
      <c r="L396" s="9" t="str">
        <f aca="false">IF(E396+I396&gt;0,"Yes","No")</f>
        <v>Yes</v>
      </c>
      <c r="M396" s="12" t="s">
        <v>812</v>
      </c>
    </row>
    <row r="397" customFormat="false" ht="15" hidden="false" customHeight="false" outlineLevel="0" collapsed="false">
      <c r="A397" s="13" t="n">
        <v>230</v>
      </c>
      <c r="B397" s="13" t="s">
        <v>813</v>
      </c>
      <c r="C397" s="6" t="n">
        <v>0</v>
      </c>
      <c r="D397" s="6" t="n">
        <v>3</v>
      </c>
      <c r="E397" s="6" t="n">
        <v>3</v>
      </c>
      <c r="F397" s="6" t="n">
        <v>0</v>
      </c>
      <c r="G397" s="6" t="n">
        <v>0</v>
      </c>
      <c r="H397" s="6" t="n">
        <v>0</v>
      </c>
      <c r="I397" s="6" t="n">
        <v>0</v>
      </c>
      <c r="J397" s="6" t="n">
        <v>0</v>
      </c>
      <c r="K397" s="7" t="n">
        <f aca="false">IF(E397+F397=0,"",E397/(E397+F397))</f>
        <v>1</v>
      </c>
      <c r="L397" s="13" t="str">
        <f aca="false">IF(E397+I397&gt;0,"Yes","No")</f>
        <v>Yes</v>
      </c>
      <c r="M397" s="14" t="s">
        <v>814</v>
      </c>
    </row>
    <row r="398" customFormat="false" ht="15" hidden="false" customHeight="false" outlineLevel="0" collapsed="false">
      <c r="A398" s="9" t="n">
        <v>239</v>
      </c>
      <c r="B398" s="9" t="s">
        <v>815</v>
      </c>
      <c r="C398" s="10" t="n">
        <v>1</v>
      </c>
      <c r="D398" s="10" t="n">
        <v>2</v>
      </c>
      <c r="E398" s="10" t="n">
        <v>3</v>
      </c>
      <c r="F398" s="10" t="n">
        <v>0</v>
      </c>
      <c r="G398" s="10" t="n">
        <v>0</v>
      </c>
      <c r="H398" s="10" t="n">
        <v>0</v>
      </c>
      <c r="I398" s="10" t="n">
        <v>0</v>
      </c>
      <c r="J398" s="10" t="n">
        <v>0</v>
      </c>
      <c r="K398" s="11" t="n">
        <f aca="false">IF(E398+F398=0,"",E398/(E398+F398))</f>
        <v>1</v>
      </c>
      <c r="L398" s="9" t="str">
        <f aca="false">IF(E398+I398&gt;0,"Yes","No")</f>
        <v>Yes</v>
      </c>
      <c r="M398" s="12" t="s">
        <v>816</v>
      </c>
    </row>
    <row r="399" customFormat="false" ht="15" hidden="false" customHeight="false" outlineLevel="0" collapsed="false">
      <c r="A399" s="13" t="n">
        <v>249</v>
      </c>
      <c r="B399" s="13" t="s">
        <v>817</v>
      </c>
      <c r="C399" s="6" t="n">
        <v>2</v>
      </c>
      <c r="D399" s="6" t="n">
        <v>1</v>
      </c>
      <c r="E399" s="6" t="n">
        <v>3</v>
      </c>
      <c r="F399" s="6" t="n">
        <v>0</v>
      </c>
      <c r="G399" s="6" t="n">
        <v>0</v>
      </c>
      <c r="H399" s="6" t="n">
        <v>0</v>
      </c>
      <c r="I399" s="6" t="n">
        <v>0</v>
      </c>
      <c r="J399" s="6" t="n">
        <v>0</v>
      </c>
      <c r="K399" s="7" t="n">
        <f aca="false">IF(E399+F399=0,"",E399/(E399+F399))</f>
        <v>1</v>
      </c>
      <c r="L399" s="13" t="str">
        <f aca="false">IF(E399+I399&gt;0,"Yes","No")</f>
        <v>Yes</v>
      </c>
      <c r="M399" s="14" t="s">
        <v>818</v>
      </c>
    </row>
    <row r="400" customFormat="false" ht="15" hidden="false" customHeight="false" outlineLevel="0" collapsed="false">
      <c r="A400" s="9" t="n">
        <v>250</v>
      </c>
      <c r="B400" s="9" t="s">
        <v>819</v>
      </c>
      <c r="C400" s="10" t="n">
        <v>1</v>
      </c>
      <c r="D400" s="10" t="n">
        <v>2</v>
      </c>
      <c r="E400" s="10" t="n">
        <v>3</v>
      </c>
      <c r="F400" s="10" t="n">
        <v>0</v>
      </c>
      <c r="G400" s="10" t="n">
        <v>0</v>
      </c>
      <c r="H400" s="10" t="n">
        <v>0</v>
      </c>
      <c r="I400" s="10" t="n">
        <v>0</v>
      </c>
      <c r="J400" s="10" t="n">
        <v>0</v>
      </c>
      <c r="K400" s="11" t="n">
        <f aca="false">IF(E400+F400=0,"",E400/(E400+F400))</f>
        <v>1</v>
      </c>
      <c r="L400" s="9" t="str">
        <f aca="false">IF(E400+I400&gt;0,"Yes","No")</f>
        <v>Yes</v>
      </c>
      <c r="M400" s="12" t="s">
        <v>820</v>
      </c>
    </row>
    <row r="401" customFormat="false" ht="15" hidden="false" customHeight="false" outlineLevel="0" collapsed="false">
      <c r="A401" s="13" t="n">
        <v>292</v>
      </c>
      <c r="B401" s="13" t="s">
        <v>821</v>
      </c>
      <c r="C401" s="6" t="n">
        <v>3</v>
      </c>
      <c r="D401" s="6" t="n">
        <v>0</v>
      </c>
      <c r="E401" s="6" t="n">
        <v>3</v>
      </c>
      <c r="F401" s="6" t="n">
        <v>1</v>
      </c>
      <c r="G401" s="6" t="n">
        <v>0</v>
      </c>
      <c r="H401" s="6" t="n">
        <v>0</v>
      </c>
      <c r="I401" s="6" t="n">
        <v>0</v>
      </c>
      <c r="J401" s="6" t="n">
        <v>0</v>
      </c>
      <c r="K401" s="7" t="n">
        <f aca="false">IF(E401+F401=0,"",E401/(E401+F401))</f>
        <v>0.75</v>
      </c>
      <c r="L401" s="13" t="str">
        <f aca="false">IF(E401+I401&gt;0,"Yes","No")</f>
        <v>Yes</v>
      </c>
      <c r="M401" s="14" t="s">
        <v>822</v>
      </c>
    </row>
    <row r="402" customFormat="false" ht="15" hidden="false" customHeight="false" outlineLevel="0" collapsed="false">
      <c r="A402" s="9" t="n">
        <v>360</v>
      </c>
      <c r="B402" s="9" t="s">
        <v>823</v>
      </c>
      <c r="C402" s="10" t="n">
        <v>1</v>
      </c>
      <c r="D402" s="10" t="n">
        <v>2</v>
      </c>
      <c r="E402" s="10" t="n">
        <v>3</v>
      </c>
      <c r="F402" s="10" t="n">
        <v>0</v>
      </c>
      <c r="G402" s="10" t="n">
        <v>0</v>
      </c>
      <c r="H402" s="10" t="n">
        <v>0</v>
      </c>
      <c r="I402" s="10" t="n">
        <v>0</v>
      </c>
      <c r="J402" s="10" t="n">
        <v>0</v>
      </c>
      <c r="K402" s="11" t="n">
        <f aca="false">IF(E402+F402=0,"",E402/(E402+F402))</f>
        <v>1</v>
      </c>
      <c r="L402" s="9" t="str">
        <f aca="false">IF(E402+I402&gt;0,"Yes","No")</f>
        <v>Yes</v>
      </c>
      <c r="M402" s="12" t="s">
        <v>824</v>
      </c>
    </row>
    <row r="403" customFormat="false" ht="15" hidden="false" customHeight="false" outlineLevel="0" collapsed="false">
      <c r="A403" s="13" t="n">
        <v>386</v>
      </c>
      <c r="B403" s="13" t="s">
        <v>825</v>
      </c>
      <c r="C403" s="6" t="n">
        <v>1</v>
      </c>
      <c r="D403" s="6" t="n">
        <v>2</v>
      </c>
      <c r="E403" s="6" t="n">
        <v>3</v>
      </c>
      <c r="F403" s="6" t="n">
        <v>0</v>
      </c>
      <c r="G403" s="6" t="n">
        <v>0</v>
      </c>
      <c r="H403" s="6" t="n">
        <v>0</v>
      </c>
      <c r="I403" s="6" t="n">
        <v>0</v>
      </c>
      <c r="J403" s="6" t="n">
        <v>0</v>
      </c>
      <c r="K403" s="7" t="n">
        <f aca="false">IF(E403+F403=0,"",E403/(E403+F403))</f>
        <v>1</v>
      </c>
      <c r="L403" s="13" t="str">
        <f aca="false">IF(E403+I403&gt;0,"Yes","No")</f>
        <v>Yes</v>
      </c>
      <c r="M403" s="14" t="s">
        <v>826</v>
      </c>
    </row>
    <row r="404" customFormat="false" ht="15" hidden="false" customHeight="false" outlineLevel="0" collapsed="false">
      <c r="A404" s="9" t="n">
        <v>458</v>
      </c>
      <c r="B404" s="9" t="s">
        <v>827</v>
      </c>
      <c r="C404" s="10" t="n">
        <v>1</v>
      </c>
      <c r="D404" s="10" t="n">
        <v>1</v>
      </c>
      <c r="E404" s="10" t="n">
        <v>2</v>
      </c>
      <c r="F404" s="10" t="n">
        <v>0</v>
      </c>
      <c r="G404" s="10" t="n">
        <v>3</v>
      </c>
      <c r="H404" s="10" t="n">
        <v>0</v>
      </c>
      <c r="I404" s="10" t="n">
        <v>3</v>
      </c>
      <c r="J404" s="10" t="n">
        <v>0</v>
      </c>
      <c r="K404" s="11" t="n">
        <f aca="false">IF(E404+F404=0,"",E404/(E404+F404))</f>
        <v>1</v>
      </c>
      <c r="L404" s="9" t="str">
        <f aca="false">IF(E404+I404&gt;0,"Yes","No")</f>
        <v>Yes</v>
      </c>
      <c r="M404" s="12" t="s">
        <v>828</v>
      </c>
    </row>
    <row r="405" customFormat="false" ht="15" hidden="false" customHeight="false" outlineLevel="0" collapsed="false">
      <c r="A405" s="13" t="n">
        <v>400</v>
      </c>
      <c r="B405" s="13" t="s">
        <v>829</v>
      </c>
      <c r="C405" s="6" t="n">
        <v>2</v>
      </c>
      <c r="D405" s="6" t="n">
        <v>0</v>
      </c>
      <c r="E405" s="6" t="n">
        <v>2</v>
      </c>
      <c r="F405" s="6" t="n">
        <v>0</v>
      </c>
      <c r="G405" s="6" t="n">
        <v>1</v>
      </c>
      <c r="H405" s="6" t="n">
        <v>1</v>
      </c>
      <c r="I405" s="6" t="n">
        <v>2</v>
      </c>
      <c r="J405" s="6" t="n">
        <v>0</v>
      </c>
      <c r="K405" s="7" t="n">
        <f aca="false">IF(E405+F405=0,"",E405/(E405+F405))</f>
        <v>1</v>
      </c>
      <c r="L405" s="13" t="str">
        <f aca="false">IF(E405+I405&gt;0,"Yes","No")</f>
        <v>Yes</v>
      </c>
      <c r="M405" s="14" t="s">
        <v>830</v>
      </c>
    </row>
    <row r="406" customFormat="false" ht="15" hidden="false" customHeight="false" outlineLevel="0" collapsed="false">
      <c r="A406" s="9" t="n">
        <v>114</v>
      </c>
      <c r="B406" s="9" t="s">
        <v>831</v>
      </c>
      <c r="C406" s="10" t="n">
        <v>1</v>
      </c>
      <c r="D406" s="10" t="n">
        <v>1</v>
      </c>
      <c r="E406" s="10" t="n">
        <v>2</v>
      </c>
      <c r="F406" s="10" t="n">
        <v>0</v>
      </c>
      <c r="G406" s="10" t="n">
        <v>0</v>
      </c>
      <c r="H406" s="10" t="n">
        <v>1</v>
      </c>
      <c r="I406" s="10" t="n">
        <v>1</v>
      </c>
      <c r="J406" s="10" t="n">
        <v>0</v>
      </c>
      <c r="K406" s="11" t="n">
        <f aca="false">IF(E406+F406=0,"",E406/(E406+F406))</f>
        <v>1</v>
      </c>
      <c r="L406" s="9" t="str">
        <f aca="false">IF(E406+I406&gt;0,"Yes","No")</f>
        <v>Yes</v>
      </c>
      <c r="M406" s="12" t="s">
        <v>832</v>
      </c>
    </row>
    <row r="407" customFormat="false" ht="15" hidden="false" customHeight="false" outlineLevel="0" collapsed="false">
      <c r="A407" s="13" t="n">
        <v>251</v>
      </c>
      <c r="B407" s="13" t="s">
        <v>833</v>
      </c>
      <c r="C407" s="6" t="n">
        <v>0</v>
      </c>
      <c r="D407" s="6" t="n">
        <v>2</v>
      </c>
      <c r="E407" s="6" t="n">
        <v>2</v>
      </c>
      <c r="F407" s="6" t="n">
        <v>0</v>
      </c>
      <c r="G407" s="6" t="n">
        <v>0</v>
      </c>
      <c r="H407" s="6" t="n">
        <v>1</v>
      </c>
      <c r="I407" s="6" t="n">
        <v>1</v>
      </c>
      <c r="J407" s="6" t="n">
        <v>0</v>
      </c>
      <c r="K407" s="7" t="n">
        <f aca="false">IF(E407+F407=0,"",E407/(E407+F407))</f>
        <v>1</v>
      </c>
      <c r="L407" s="13" t="str">
        <f aca="false">IF(E407+I407&gt;0,"Yes","No")</f>
        <v>Yes</v>
      </c>
      <c r="M407" s="14" t="s">
        <v>834</v>
      </c>
    </row>
    <row r="408" customFormat="false" ht="15" hidden="false" customHeight="false" outlineLevel="0" collapsed="false">
      <c r="A408" s="9" t="n">
        <v>432</v>
      </c>
      <c r="B408" s="9" t="s">
        <v>835</v>
      </c>
      <c r="C408" s="10" t="n">
        <v>0</v>
      </c>
      <c r="D408" s="10" t="n">
        <v>2</v>
      </c>
      <c r="E408" s="10" t="n">
        <v>2</v>
      </c>
      <c r="F408" s="10" t="n">
        <v>0</v>
      </c>
      <c r="G408" s="10" t="n">
        <v>0</v>
      </c>
      <c r="H408" s="10" t="n">
        <v>1</v>
      </c>
      <c r="I408" s="10" t="n">
        <v>1</v>
      </c>
      <c r="J408" s="10" t="n">
        <v>0</v>
      </c>
      <c r="K408" s="11" t="n">
        <f aca="false">IF(E408+F408=0,"",E408/(E408+F408))</f>
        <v>1</v>
      </c>
      <c r="L408" s="9" t="str">
        <f aca="false">IF(E408+I408&gt;0,"Yes","No")</f>
        <v>Yes</v>
      </c>
      <c r="M408" s="12" t="s">
        <v>836</v>
      </c>
    </row>
    <row r="409" customFormat="false" ht="15" hidden="false" customHeight="false" outlineLevel="0" collapsed="false">
      <c r="A409" s="13" t="n">
        <v>133</v>
      </c>
      <c r="B409" s="13" t="s">
        <v>837</v>
      </c>
      <c r="C409" s="6" t="n">
        <v>2</v>
      </c>
      <c r="D409" s="6" t="n">
        <v>0</v>
      </c>
      <c r="E409" s="6" t="n">
        <v>2</v>
      </c>
      <c r="F409" s="6" t="n">
        <v>0</v>
      </c>
      <c r="G409" s="6" t="n">
        <v>0</v>
      </c>
      <c r="H409" s="6" t="n">
        <v>0</v>
      </c>
      <c r="I409" s="6" t="n">
        <v>0</v>
      </c>
      <c r="J409" s="6" t="n">
        <v>0</v>
      </c>
      <c r="K409" s="7" t="n">
        <f aca="false">IF(E409+F409=0,"",E409/(E409+F409))</f>
        <v>1</v>
      </c>
      <c r="L409" s="13" t="str">
        <f aca="false">IF(E409+I409&gt;0,"Yes","No")</f>
        <v>Yes</v>
      </c>
      <c r="M409" s="14" t="s">
        <v>838</v>
      </c>
    </row>
    <row r="410" customFormat="false" ht="15" hidden="false" customHeight="false" outlineLevel="0" collapsed="false">
      <c r="A410" s="9" t="n">
        <v>208</v>
      </c>
      <c r="B410" s="9" t="s">
        <v>839</v>
      </c>
      <c r="C410" s="10" t="n">
        <v>1</v>
      </c>
      <c r="D410" s="10" t="n">
        <v>1</v>
      </c>
      <c r="E410" s="10" t="n">
        <v>2</v>
      </c>
      <c r="F410" s="10" t="n">
        <v>0</v>
      </c>
      <c r="G410" s="10" t="n">
        <v>0</v>
      </c>
      <c r="H410" s="10" t="n">
        <v>0</v>
      </c>
      <c r="I410" s="10" t="n">
        <v>0</v>
      </c>
      <c r="J410" s="10" t="n">
        <v>0</v>
      </c>
      <c r="K410" s="11" t="n">
        <f aca="false">IF(E410+F410=0,"",E410/(E410+F410))</f>
        <v>1</v>
      </c>
      <c r="L410" s="9" t="str">
        <f aca="false">IF(E410+I410&gt;0,"Yes","No")</f>
        <v>Yes</v>
      </c>
      <c r="M410" s="12" t="s">
        <v>840</v>
      </c>
    </row>
    <row r="411" customFormat="false" ht="15" hidden="false" customHeight="false" outlineLevel="0" collapsed="false">
      <c r="A411" s="13" t="n">
        <v>263</v>
      </c>
      <c r="B411" s="13" t="s">
        <v>841</v>
      </c>
      <c r="C411" s="6" t="n">
        <v>1</v>
      </c>
      <c r="D411" s="6" t="n">
        <v>1</v>
      </c>
      <c r="E411" s="6" t="n">
        <v>2</v>
      </c>
      <c r="F411" s="6" t="n">
        <v>0</v>
      </c>
      <c r="G411" s="6" t="n">
        <v>0</v>
      </c>
      <c r="H411" s="6" t="n">
        <v>0</v>
      </c>
      <c r="I411" s="6" t="n">
        <v>0</v>
      </c>
      <c r="J411" s="6" t="n">
        <v>0</v>
      </c>
      <c r="K411" s="7" t="n">
        <f aca="false">IF(E411+F411=0,"",E411/(E411+F411))</f>
        <v>1</v>
      </c>
      <c r="L411" s="13" t="str">
        <f aca="false">IF(E411+I411&gt;0,"Yes","No")</f>
        <v>Yes</v>
      </c>
      <c r="M411" s="14" t="s">
        <v>842</v>
      </c>
    </row>
    <row r="412" customFormat="false" ht="15" hidden="false" customHeight="false" outlineLevel="0" collapsed="false">
      <c r="A412" s="9" t="n">
        <v>317</v>
      </c>
      <c r="B412" s="9" t="s">
        <v>843</v>
      </c>
      <c r="C412" s="10" t="n">
        <v>2</v>
      </c>
      <c r="D412" s="10" t="n">
        <v>0</v>
      </c>
      <c r="E412" s="10" t="n">
        <v>2</v>
      </c>
      <c r="F412" s="10" t="n">
        <v>0</v>
      </c>
      <c r="G412" s="10" t="n">
        <v>0</v>
      </c>
      <c r="H412" s="10" t="n">
        <v>0</v>
      </c>
      <c r="I412" s="10" t="n">
        <v>0</v>
      </c>
      <c r="J412" s="10" t="n">
        <v>0</v>
      </c>
      <c r="K412" s="11" t="n">
        <f aca="false">IF(E412+F412=0,"",E412/(E412+F412))</f>
        <v>1</v>
      </c>
      <c r="L412" s="9" t="str">
        <f aca="false">IF(E412+I412&gt;0,"Yes","No")</f>
        <v>Yes</v>
      </c>
      <c r="M412" s="12" t="s">
        <v>844</v>
      </c>
    </row>
    <row r="413" customFormat="false" ht="15" hidden="false" customHeight="false" outlineLevel="0" collapsed="false">
      <c r="A413" s="13" t="n">
        <v>469</v>
      </c>
      <c r="B413" s="13" t="s">
        <v>845</v>
      </c>
      <c r="C413" s="6" t="n">
        <v>2</v>
      </c>
      <c r="D413" s="6" t="n">
        <v>0</v>
      </c>
      <c r="E413" s="6" t="n">
        <v>2</v>
      </c>
      <c r="F413" s="6" t="n">
        <v>0</v>
      </c>
      <c r="G413" s="6" t="n">
        <v>0</v>
      </c>
      <c r="H413" s="6" t="n">
        <v>0</v>
      </c>
      <c r="I413" s="6" t="n">
        <v>0</v>
      </c>
      <c r="J413" s="6" t="n">
        <v>0</v>
      </c>
      <c r="K413" s="7" t="n">
        <f aca="false">IF(E413+F413=0,"",E413/(E413+F413))</f>
        <v>1</v>
      </c>
      <c r="L413" s="13" t="str">
        <f aca="false">IF(E413+I413&gt;0,"Yes","No")</f>
        <v>Yes</v>
      </c>
      <c r="M413" s="14" t="s">
        <v>846</v>
      </c>
    </row>
    <row r="414" customFormat="false" ht="15" hidden="false" customHeight="false" outlineLevel="0" collapsed="false">
      <c r="A414" s="9" t="n">
        <v>171</v>
      </c>
      <c r="B414" s="9" t="s">
        <v>847</v>
      </c>
      <c r="C414" s="10" t="n">
        <v>1</v>
      </c>
      <c r="D414" s="10" t="n">
        <v>0</v>
      </c>
      <c r="E414" s="10" t="n">
        <v>1</v>
      </c>
      <c r="F414" s="10" t="n">
        <v>0</v>
      </c>
      <c r="G414" s="10" t="n">
        <v>1</v>
      </c>
      <c r="H414" s="10" t="n">
        <v>0</v>
      </c>
      <c r="I414" s="10" t="n">
        <v>1</v>
      </c>
      <c r="J414" s="10" t="n">
        <v>0</v>
      </c>
      <c r="K414" s="11" t="n">
        <f aca="false">IF(E414+F414=0,"",E414/(E414+F414))</f>
        <v>1</v>
      </c>
      <c r="L414" s="9" t="str">
        <f aca="false">IF(E414+I414&gt;0,"Yes","No")</f>
        <v>Yes</v>
      </c>
      <c r="M414" s="12" t="s">
        <v>848</v>
      </c>
    </row>
    <row r="415" customFormat="false" ht="15" hidden="false" customHeight="false" outlineLevel="0" collapsed="false">
      <c r="A415" s="13" t="n">
        <v>277</v>
      </c>
      <c r="B415" s="13" t="s">
        <v>849</v>
      </c>
      <c r="C415" s="6" t="n">
        <v>0</v>
      </c>
      <c r="D415" s="6" t="n">
        <v>1</v>
      </c>
      <c r="E415" s="6" t="n">
        <v>1</v>
      </c>
      <c r="F415" s="6" t="n">
        <v>0</v>
      </c>
      <c r="G415" s="6" t="n">
        <v>0</v>
      </c>
      <c r="H415" s="6" t="n">
        <v>1</v>
      </c>
      <c r="I415" s="6" t="n">
        <v>1</v>
      </c>
      <c r="J415" s="6" t="n">
        <v>0</v>
      </c>
      <c r="K415" s="7" t="n">
        <f aca="false">IF(E415+F415=0,"",E415/(E415+F415))</f>
        <v>1</v>
      </c>
      <c r="L415" s="13" t="str">
        <f aca="false">IF(E415+I415&gt;0,"Yes","No")</f>
        <v>Yes</v>
      </c>
      <c r="M415" s="14" t="s">
        <v>850</v>
      </c>
    </row>
    <row r="416" customFormat="false" ht="15" hidden="false" customHeight="false" outlineLevel="0" collapsed="false">
      <c r="A416" s="9" t="n">
        <v>299</v>
      </c>
      <c r="B416" s="9" t="s">
        <v>851</v>
      </c>
      <c r="C416" s="10" t="n">
        <v>1</v>
      </c>
      <c r="D416" s="10" t="n">
        <v>0</v>
      </c>
      <c r="E416" s="10" t="n">
        <v>1</v>
      </c>
      <c r="F416" s="10" t="n">
        <v>0</v>
      </c>
      <c r="G416" s="10" t="n">
        <v>0</v>
      </c>
      <c r="H416" s="10" t="n">
        <v>1</v>
      </c>
      <c r="I416" s="10" t="n">
        <v>1</v>
      </c>
      <c r="J416" s="10" t="n">
        <v>0</v>
      </c>
      <c r="K416" s="11" t="n">
        <f aca="false">IF(E416+F416=0,"",E416/(E416+F416))</f>
        <v>1</v>
      </c>
      <c r="L416" s="9" t="str">
        <f aca="false">IF(E416+I416&gt;0,"Yes","No")</f>
        <v>Yes</v>
      </c>
      <c r="M416" s="12" t="s">
        <v>852</v>
      </c>
    </row>
    <row r="417" customFormat="false" ht="15" hidden="false" customHeight="false" outlineLevel="0" collapsed="false">
      <c r="A417" s="13" t="n">
        <v>361</v>
      </c>
      <c r="B417" s="13" t="s">
        <v>853</v>
      </c>
      <c r="C417" s="6" t="n">
        <v>0</v>
      </c>
      <c r="D417" s="6" t="n">
        <v>1</v>
      </c>
      <c r="E417" s="6" t="n">
        <v>1</v>
      </c>
      <c r="F417" s="6" t="n">
        <v>0</v>
      </c>
      <c r="G417" s="6" t="n">
        <v>0</v>
      </c>
      <c r="H417" s="6" t="n">
        <v>1</v>
      </c>
      <c r="I417" s="6" t="n">
        <v>1</v>
      </c>
      <c r="J417" s="6" t="n">
        <v>0</v>
      </c>
      <c r="K417" s="7" t="n">
        <f aca="false">IF(E417+F417=0,"",E417/(E417+F417))</f>
        <v>1</v>
      </c>
      <c r="L417" s="13" t="str">
        <f aca="false">IF(E417+I417&gt;0,"Yes","No")</f>
        <v>Yes</v>
      </c>
      <c r="M417" s="14" t="s">
        <v>854</v>
      </c>
    </row>
    <row r="418" customFormat="false" ht="15" hidden="false" customHeight="false" outlineLevel="0" collapsed="false">
      <c r="A418" s="9" t="n">
        <v>413</v>
      </c>
      <c r="B418" s="9" t="s">
        <v>855</v>
      </c>
      <c r="C418" s="10" t="n">
        <v>1</v>
      </c>
      <c r="D418" s="10" t="n">
        <v>0</v>
      </c>
      <c r="E418" s="10" t="n">
        <v>1</v>
      </c>
      <c r="F418" s="10" t="n">
        <v>0</v>
      </c>
      <c r="G418" s="10" t="n">
        <v>1</v>
      </c>
      <c r="H418" s="10" t="n">
        <v>0</v>
      </c>
      <c r="I418" s="10" t="n">
        <v>1</v>
      </c>
      <c r="J418" s="10" t="n">
        <v>0</v>
      </c>
      <c r="K418" s="11" t="n">
        <f aca="false">IF(E418+F418=0,"",E418/(E418+F418))</f>
        <v>1</v>
      </c>
      <c r="L418" s="9" t="str">
        <f aca="false">IF(E418+I418&gt;0,"Yes","No")</f>
        <v>Yes</v>
      </c>
      <c r="M418" s="12" t="s">
        <v>856</v>
      </c>
    </row>
    <row r="419" customFormat="false" ht="15" hidden="false" customHeight="false" outlineLevel="0" collapsed="false">
      <c r="A419" s="13" t="n">
        <v>419</v>
      </c>
      <c r="B419" s="13" t="s">
        <v>857</v>
      </c>
      <c r="C419" s="6" t="n">
        <v>1</v>
      </c>
      <c r="D419" s="6" t="n">
        <v>0</v>
      </c>
      <c r="E419" s="6" t="n">
        <v>1</v>
      </c>
      <c r="F419" s="6" t="n">
        <v>0</v>
      </c>
      <c r="G419" s="6" t="n">
        <v>0</v>
      </c>
      <c r="H419" s="6" t="n">
        <v>1</v>
      </c>
      <c r="I419" s="6" t="n">
        <v>1</v>
      </c>
      <c r="J419" s="6" t="n">
        <v>0</v>
      </c>
      <c r="K419" s="7" t="n">
        <f aca="false">IF(E419+F419=0,"",E419/(E419+F419))</f>
        <v>1</v>
      </c>
      <c r="L419" s="13" t="str">
        <f aca="false">IF(E419+I419&gt;0,"Yes","No")</f>
        <v>Yes</v>
      </c>
      <c r="M419" s="14" t="s">
        <v>858</v>
      </c>
    </row>
    <row r="420" customFormat="false" ht="15" hidden="false" customHeight="false" outlineLevel="0" collapsed="false">
      <c r="A420" s="9" t="n">
        <v>60</v>
      </c>
      <c r="B420" s="9" t="s">
        <v>859</v>
      </c>
      <c r="C420" s="10" t="n">
        <v>0</v>
      </c>
      <c r="D420" s="10" t="n">
        <v>1</v>
      </c>
      <c r="E420" s="10" t="n">
        <v>1</v>
      </c>
      <c r="F420" s="10" t="n">
        <v>0</v>
      </c>
      <c r="G420" s="10" t="n">
        <v>0</v>
      </c>
      <c r="H420" s="10" t="n">
        <v>0</v>
      </c>
      <c r="I420" s="10" t="n">
        <v>0</v>
      </c>
      <c r="J420" s="10" t="n">
        <v>0</v>
      </c>
      <c r="K420" s="11" t="n">
        <f aca="false">IF(E420+F420=0,"",E420/(E420+F420))</f>
        <v>1</v>
      </c>
      <c r="L420" s="9" t="str">
        <f aca="false">IF(E420+I420&gt;0,"Yes","No")</f>
        <v>Yes</v>
      </c>
      <c r="M420" s="12" t="s">
        <v>860</v>
      </c>
    </row>
    <row r="421" customFormat="false" ht="15" hidden="false" customHeight="false" outlineLevel="0" collapsed="false">
      <c r="A421" s="13" t="n">
        <v>95</v>
      </c>
      <c r="B421" s="13" t="s">
        <v>861</v>
      </c>
      <c r="C421" s="6" t="n">
        <v>0</v>
      </c>
      <c r="D421" s="6" t="n">
        <v>1</v>
      </c>
      <c r="E421" s="6" t="n">
        <v>1</v>
      </c>
      <c r="F421" s="6" t="n">
        <v>0</v>
      </c>
      <c r="G421" s="6" t="n">
        <v>0</v>
      </c>
      <c r="H421" s="6" t="n">
        <v>0</v>
      </c>
      <c r="I421" s="6" t="n">
        <v>0</v>
      </c>
      <c r="J421" s="6" t="n">
        <v>0</v>
      </c>
      <c r="K421" s="7" t="n">
        <f aca="false">IF(E421+F421=0,"",E421/(E421+F421))</f>
        <v>1</v>
      </c>
      <c r="L421" s="13" t="str">
        <f aca="false">IF(E421+I421&gt;0,"Yes","No")</f>
        <v>Yes</v>
      </c>
      <c r="M421" s="14" t="s">
        <v>862</v>
      </c>
    </row>
    <row r="422" customFormat="false" ht="15" hidden="false" customHeight="false" outlineLevel="0" collapsed="false">
      <c r="A422" s="9" t="n">
        <v>108</v>
      </c>
      <c r="B422" s="9" t="s">
        <v>863</v>
      </c>
      <c r="C422" s="10" t="n">
        <v>0</v>
      </c>
      <c r="D422" s="10" t="n">
        <v>1</v>
      </c>
      <c r="E422" s="10" t="n">
        <v>1</v>
      </c>
      <c r="F422" s="10" t="n">
        <v>0</v>
      </c>
      <c r="G422" s="10" t="n">
        <v>0</v>
      </c>
      <c r="H422" s="10" t="n">
        <v>0</v>
      </c>
      <c r="I422" s="10" t="n">
        <v>0</v>
      </c>
      <c r="J422" s="10" t="n">
        <v>0</v>
      </c>
      <c r="K422" s="11" t="n">
        <f aca="false">IF(E422+F422=0,"",E422/(E422+F422))</f>
        <v>1</v>
      </c>
      <c r="L422" s="9" t="str">
        <f aca="false">IF(E422+I422&gt;0,"Yes","No")</f>
        <v>Yes</v>
      </c>
      <c r="M422" s="12" t="s">
        <v>864</v>
      </c>
    </row>
    <row r="423" customFormat="false" ht="15" hidden="false" customHeight="false" outlineLevel="0" collapsed="false">
      <c r="A423" s="13" t="n">
        <v>143</v>
      </c>
      <c r="B423" s="13" t="s">
        <v>865</v>
      </c>
      <c r="C423" s="6" t="n">
        <v>1</v>
      </c>
      <c r="D423" s="6" t="n">
        <v>0</v>
      </c>
      <c r="E423" s="6" t="n">
        <v>1</v>
      </c>
      <c r="F423" s="6" t="n">
        <v>0</v>
      </c>
      <c r="G423" s="6" t="n">
        <v>0</v>
      </c>
      <c r="H423" s="6" t="n">
        <v>0</v>
      </c>
      <c r="I423" s="6" t="n">
        <v>0</v>
      </c>
      <c r="J423" s="6" t="n">
        <v>0</v>
      </c>
      <c r="K423" s="7" t="n">
        <f aca="false">IF(E423+F423=0,"",E423/(E423+F423))</f>
        <v>1</v>
      </c>
      <c r="L423" s="13" t="str">
        <f aca="false">IF(E423+I423&gt;0,"Yes","No")</f>
        <v>Yes</v>
      </c>
      <c r="M423" s="14" t="s">
        <v>866</v>
      </c>
    </row>
    <row r="424" customFormat="false" ht="15" hidden="false" customHeight="false" outlineLevel="0" collapsed="false">
      <c r="A424" s="9" t="n">
        <v>216</v>
      </c>
      <c r="B424" s="9" t="s">
        <v>867</v>
      </c>
      <c r="C424" s="10" t="n">
        <v>0</v>
      </c>
      <c r="D424" s="10" t="n">
        <v>1</v>
      </c>
      <c r="E424" s="10" t="n">
        <v>1</v>
      </c>
      <c r="F424" s="10" t="n">
        <v>0</v>
      </c>
      <c r="G424" s="10" t="n">
        <v>0</v>
      </c>
      <c r="H424" s="10" t="n">
        <v>0</v>
      </c>
      <c r="I424" s="10" t="n">
        <v>0</v>
      </c>
      <c r="J424" s="10" t="n">
        <v>0</v>
      </c>
      <c r="K424" s="11" t="n">
        <f aca="false">IF(E424+F424=0,"",E424/(E424+F424))</f>
        <v>1</v>
      </c>
      <c r="L424" s="9" t="str">
        <f aca="false">IF(E424+I424&gt;0,"Yes","No")</f>
        <v>Yes</v>
      </c>
      <c r="M424" s="12" t="s">
        <v>868</v>
      </c>
    </row>
    <row r="425" customFormat="false" ht="15" hidden="false" customHeight="false" outlineLevel="0" collapsed="false">
      <c r="A425" s="13" t="n">
        <v>231</v>
      </c>
      <c r="B425" s="13" t="s">
        <v>869</v>
      </c>
      <c r="C425" s="6" t="n">
        <v>1</v>
      </c>
      <c r="D425" s="6" t="n">
        <v>0</v>
      </c>
      <c r="E425" s="6" t="n">
        <v>1</v>
      </c>
      <c r="F425" s="6" t="n">
        <v>0</v>
      </c>
      <c r="G425" s="6" t="n">
        <v>0</v>
      </c>
      <c r="H425" s="6" t="n">
        <v>0</v>
      </c>
      <c r="I425" s="6" t="n">
        <v>0</v>
      </c>
      <c r="J425" s="6" t="n">
        <v>0</v>
      </c>
      <c r="K425" s="7" t="n">
        <f aca="false">IF(E425+F425=0,"",E425/(E425+F425))</f>
        <v>1</v>
      </c>
      <c r="L425" s="13" t="str">
        <f aca="false">IF(E425+I425&gt;0,"Yes","No")</f>
        <v>Yes</v>
      </c>
      <c r="M425" s="14" t="s">
        <v>870</v>
      </c>
    </row>
    <row r="426" customFormat="false" ht="15" hidden="false" customHeight="false" outlineLevel="0" collapsed="false">
      <c r="A426" s="9" t="n">
        <v>238</v>
      </c>
      <c r="B426" s="9" t="s">
        <v>871</v>
      </c>
      <c r="C426" s="10" t="n">
        <v>1</v>
      </c>
      <c r="D426" s="10" t="n">
        <v>0</v>
      </c>
      <c r="E426" s="10" t="n">
        <v>1</v>
      </c>
      <c r="F426" s="10" t="n">
        <v>0</v>
      </c>
      <c r="G426" s="10" t="n">
        <v>0</v>
      </c>
      <c r="H426" s="10" t="n">
        <v>0</v>
      </c>
      <c r="I426" s="10" t="n">
        <v>0</v>
      </c>
      <c r="J426" s="10" t="n">
        <v>0</v>
      </c>
      <c r="K426" s="11" t="n">
        <f aca="false">IF(E426+F426=0,"",E426/(E426+F426))</f>
        <v>1</v>
      </c>
      <c r="L426" s="9" t="str">
        <f aca="false">IF(E426+I426&gt;0,"Yes","No")</f>
        <v>Yes</v>
      </c>
      <c r="M426" s="12" t="s">
        <v>872</v>
      </c>
    </row>
    <row r="427" customFormat="false" ht="15" hidden="false" customHeight="false" outlineLevel="0" collapsed="false">
      <c r="A427" s="13" t="n">
        <v>245</v>
      </c>
      <c r="B427" s="13" t="s">
        <v>873</v>
      </c>
      <c r="C427" s="6" t="n">
        <v>1</v>
      </c>
      <c r="D427" s="6" t="n">
        <v>0</v>
      </c>
      <c r="E427" s="6" t="n">
        <v>1</v>
      </c>
      <c r="F427" s="6" t="n">
        <v>0</v>
      </c>
      <c r="G427" s="6" t="n">
        <v>0</v>
      </c>
      <c r="H427" s="6" t="n">
        <v>0</v>
      </c>
      <c r="I427" s="6" t="n">
        <v>0</v>
      </c>
      <c r="J427" s="6" t="n">
        <v>0</v>
      </c>
      <c r="K427" s="7" t="n">
        <f aca="false">IF(E427+F427=0,"",E427/(E427+F427))</f>
        <v>1</v>
      </c>
      <c r="L427" s="13" t="str">
        <f aca="false">IF(E427+I427&gt;0,"Yes","No")</f>
        <v>Yes</v>
      </c>
      <c r="M427" s="14" t="s">
        <v>874</v>
      </c>
    </row>
    <row r="428" customFormat="false" ht="15" hidden="false" customHeight="false" outlineLevel="0" collapsed="false">
      <c r="A428" s="9" t="n">
        <v>253</v>
      </c>
      <c r="B428" s="9" t="s">
        <v>875</v>
      </c>
      <c r="C428" s="10" t="n">
        <v>0</v>
      </c>
      <c r="D428" s="10" t="n">
        <v>1</v>
      </c>
      <c r="E428" s="10" t="n">
        <v>1</v>
      </c>
      <c r="F428" s="10" t="n">
        <v>0</v>
      </c>
      <c r="G428" s="10" t="n">
        <v>0</v>
      </c>
      <c r="H428" s="10" t="n">
        <v>0</v>
      </c>
      <c r="I428" s="10" t="n">
        <v>0</v>
      </c>
      <c r="J428" s="10" t="n">
        <v>0</v>
      </c>
      <c r="K428" s="11" t="n">
        <f aca="false">IF(E428+F428=0,"",E428/(E428+F428))</f>
        <v>1</v>
      </c>
      <c r="L428" s="9" t="str">
        <f aca="false">IF(E428+I428&gt;0,"Yes","No")</f>
        <v>Yes</v>
      </c>
      <c r="M428" s="12" t="s">
        <v>876</v>
      </c>
    </row>
    <row r="429" customFormat="false" ht="15" hidden="false" customHeight="false" outlineLevel="0" collapsed="false">
      <c r="A429" s="13" t="n">
        <v>301</v>
      </c>
      <c r="B429" s="13" t="s">
        <v>877</v>
      </c>
      <c r="C429" s="6" t="n">
        <v>0</v>
      </c>
      <c r="D429" s="6" t="n">
        <v>1</v>
      </c>
      <c r="E429" s="6" t="n">
        <v>1</v>
      </c>
      <c r="F429" s="6" t="n">
        <v>0</v>
      </c>
      <c r="G429" s="6" t="n">
        <v>0</v>
      </c>
      <c r="H429" s="6" t="n">
        <v>0</v>
      </c>
      <c r="I429" s="6" t="n">
        <v>0</v>
      </c>
      <c r="J429" s="6" t="n">
        <v>0</v>
      </c>
      <c r="K429" s="7" t="n">
        <f aca="false">IF(E429+F429=0,"",E429/(E429+F429))</f>
        <v>1</v>
      </c>
      <c r="L429" s="13" t="str">
        <f aca="false">IF(E429+I429&gt;0,"Yes","No")</f>
        <v>Yes</v>
      </c>
      <c r="M429" s="14" t="s">
        <v>878</v>
      </c>
    </row>
    <row r="430" customFormat="false" ht="15" hidden="false" customHeight="false" outlineLevel="0" collapsed="false">
      <c r="A430" s="9" t="n">
        <v>327</v>
      </c>
      <c r="B430" s="9" t="s">
        <v>879</v>
      </c>
      <c r="C430" s="10" t="n">
        <v>1</v>
      </c>
      <c r="D430" s="10" t="n">
        <v>0</v>
      </c>
      <c r="E430" s="10" t="n">
        <v>1</v>
      </c>
      <c r="F430" s="10" t="n">
        <v>0</v>
      </c>
      <c r="G430" s="10" t="n">
        <v>0</v>
      </c>
      <c r="H430" s="10" t="n">
        <v>0</v>
      </c>
      <c r="I430" s="10" t="n">
        <v>0</v>
      </c>
      <c r="J430" s="10" t="n">
        <v>0</v>
      </c>
      <c r="K430" s="11" t="n">
        <f aca="false">IF(E430+F430=0,"",E430/(E430+F430))</f>
        <v>1</v>
      </c>
      <c r="L430" s="9" t="str">
        <f aca="false">IF(E430+I430&gt;0,"Yes","No")</f>
        <v>Yes</v>
      </c>
      <c r="M430" s="12" t="s">
        <v>880</v>
      </c>
    </row>
    <row r="431" customFormat="false" ht="15" hidden="false" customHeight="false" outlineLevel="0" collapsed="false">
      <c r="A431" s="13" t="n">
        <v>421</v>
      </c>
      <c r="B431" s="13" t="s">
        <v>881</v>
      </c>
      <c r="C431" s="6" t="n">
        <v>1</v>
      </c>
      <c r="D431" s="6" t="n">
        <v>0</v>
      </c>
      <c r="E431" s="6" t="n">
        <v>1</v>
      </c>
      <c r="F431" s="6" t="n">
        <v>0</v>
      </c>
      <c r="G431" s="6" t="n">
        <v>0</v>
      </c>
      <c r="H431" s="6" t="n">
        <v>0</v>
      </c>
      <c r="I431" s="6" t="n">
        <v>0</v>
      </c>
      <c r="J431" s="6" t="n">
        <v>0</v>
      </c>
      <c r="K431" s="7" t="n">
        <f aca="false">IF(E431+F431=0,"",E431/(E431+F431))</f>
        <v>1</v>
      </c>
      <c r="L431" s="13" t="str">
        <f aca="false">IF(E431+I431&gt;0,"Yes","No")</f>
        <v>Yes</v>
      </c>
      <c r="M431" s="14" t="s">
        <v>882</v>
      </c>
    </row>
    <row r="432" customFormat="false" ht="15" hidden="false" customHeight="false" outlineLevel="0" collapsed="false">
      <c r="A432" s="9" t="n">
        <v>467</v>
      </c>
      <c r="B432" s="9" t="s">
        <v>883</v>
      </c>
      <c r="C432" s="10" t="n">
        <v>0</v>
      </c>
      <c r="D432" s="10" t="n">
        <v>1</v>
      </c>
      <c r="E432" s="10" t="n">
        <v>1</v>
      </c>
      <c r="F432" s="10" t="n">
        <v>0</v>
      </c>
      <c r="G432" s="10" t="n">
        <v>0</v>
      </c>
      <c r="H432" s="10" t="n">
        <v>0</v>
      </c>
      <c r="I432" s="10" t="n">
        <v>0</v>
      </c>
      <c r="J432" s="10" t="n">
        <v>0</v>
      </c>
      <c r="K432" s="11" t="n">
        <f aca="false">IF(E432+F432=0,"",E432/(E432+F432))</f>
        <v>1</v>
      </c>
      <c r="L432" s="9" t="str">
        <f aca="false">IF(E432+I432&gt;0,"Yes","No")</f>
        <v>Yes</v>
      </c>
      <c r="M432" s="12" t="s">
        <v>884</v>
      </c>
    </row>
    <row r="433" customFormat="false" ht="15" hidden="false" customHeight="false" outlineLevel="0" collapsed="false">
      <c r="A433" s="13" t="n">
        <v>470</v>
      </c>
      <c r="B433" s="13" t="s">
        <v>885</v>
      </c>
      <c r="C433" s="6" t="n">
        <v>0</v>
      </c>
      <c r="D433" s="6" t="n">
        <v>1</v>
      </c>
      <c r="E433" s="6" t="n">
        <v>1</v>
      </c>
      <c r="F433" s="6" t="n">
        <v>0</v>
      </c>
      <c r="G433" s="6" t="n">
        <v>0</v>
      </c>
      <c r="H433" s="6" t="n">
        <v>0</v>
      </c>
      <c r="I433" s="6" t="n">
        <v>0</v>
      </c>
      <c r="J433" s="6" t="n">
        <v>0</v>
      </c>
      <c r="K433" s="7" t="n">
        <f aca="false">IF(E433+F433=0,"",E433/(E433+F433))</f>
        <v>1</v>
      </c>
      <c r="L433" s="13" t="str">
        <f aca="false">IF(E433+I433&gt;0,"Yes","No")</f>
        <v>Yes</v>
      </c>
      <c r="M433" s="14" t="s">
        <v>886</v>
      </c>
    </row>
    <row r="434" customFormat="false" ht="15" hidden="false" customHeight="false" outlineLevel="0" collapsed="false">
      <c r="A434" s="9" t="n">
        <v>242</v>
      </c>
      <c r="B434" s="9" t="s">
        <v>887</v>
      </c>
      <c r="C434" s="10" t="n">
        <v>0</v>
      </c>
      <c r="D434" s="10" t="n">
        <v>0</v>
      </c>
      <c r="E434" s="10" t="n">
        <v>0</v>
      </c>
      <c r="F434" s="10" t="n">
        <v>0</v>
      </c>
      <c r="G434" s="10" t="n">
        <v>1</v>
      </c>
      <c r="H434" s="10" t="n">
        <v>1</v>
      </c>
      <c r="I434" s="10" t="n">
        <v>2</v>
      </c>
      <c r="J434" s="10" t="n">
        <v>0</v>
      </c>
      <c r="K434" s="11" t="str">
        <f aca="false">IF(E434+F434=0,"",E434/(E434+F434))</f>
        <v/>
      </c>
      <c r="L434" s="9" t="str">
        <f aca="false">IF(E434+I434&gt;0,"Yes","No")</f>
        <v>Yes</v>
      </c>
      <c r="M434" s="12" t="s">
        <v>888</v>
      </c>
    </row>
    <row r="435" customFormat="false" ht="15" hidden="false" customHeight="false" outlineLevel="0" collapsed="false">
      <c r="A435" s="13" t="n">
        <v>193</v>
      </c>
      <c r="B435" s="13" t="s">
        <v>889</v>
      </c>
      <c r="C435" s="6" t="n">
        <v>0</v>
      </c>
      <c r="D435" s="6" t="n">
        <v>0</v>
      </c>
      <c r="E435" s="6" t="n">
        <v>0</v>
      </c>
      <c r="F435" s="6" t="n">
        <v>0</v>
      </c>
      <c r="G435" s="6" t="n">
        <v>1</v>
      </c>
      <c r="H435" s="6" t="n">
        <v>0</v>
      </c>
      <c r="I435" s="6" t="n">
        <v>1</v>
      </c>
      <c r="J435" s="6" t="n">
        <v>0</v>
      </c>
      <c r="K435" s="7" t="str">
        <f aca="false">IF(E435+F435=0,"",E435/(E435+F435))</f>
        <v/>
      </c>
      <c r="L435" s="13" t="str">
        <f aca="false">IF(E435+I435&gt;0,"Yes","No")</f>
        <v>Yes</v>
      </c>
      <c r="M435" s="14" t="s">
        <v>890</v>
      </c>
    </row>
    <row r="436" customFormat="false" ht="15" hidden="false" customHeight="false" outlineLevel="0" collapsed="false">
      <c r="A436" s="9" t="n">
        <v>409</v>
      </c>
      <c r="B436" s="9" t="s">
        <v>891</v>
      </c>
      <c r="C436" s="10" t="n">
        <v>0</v>
      </c>
      <c r="D436" s="10" t="n">
        <v>0</v>
      </c>
      <c r="E436" s="10" t="n">
        <v>0</v>
      </c>
      <c r="F436" s="10" t="n">
        <v>0</v>
      </c>
      <c r="G436" s="10" t="n">
        <v>0</v>
      </c>
      <c r="H436" s="10" t="n">
        <v>1</v>
      </c>
      <c r="I436" s="10" t="n">
        <v>1</v>
      </c>
      <c r="J436" s="10" t="n">
        <v>0</v>
      </c>
      <c r="K436" s="11" t="str">
        <f aca="false">IF(E436+F436=0,"",E436/(E436+F436))</f>
        <v/>
      </c>
      <c r="L436" s="9" t="str">
        <f aca="false">IF(E436+I436&gt;0,"Yes","No")</f>
        <v>Yes</v>
      </c>
      <c r="M436" s="12" t="s">
        <v>892</v>
      </c>
    </row>
  </sheetData>
  <autoFilter ref="A7:M43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4"/>
    <col collapsed="false" customWidth="true" hidden="false" outlineLevel="0" max="4" min="3" style="0" width="14"/>
    <col collapsed="false" customWidth="true" hidden="false" outlineLevel="0" max="5" min="5" style="0" width="13"/>
    <col collapsed="false" customWidth="true" hidden="false" outlineLevel="0" max="6" min="6" style="0" width="11"/>
    <col collapsed="false" customWidth="true" hidden="false" outlineLevel="0" max="8" min="7" style="0" width="14"/>
    <col collapsed="false" customWidth="true" hidden="false" outlineLevel="0" max="9" min="9" style="0" width="13"/>
    <col collapsed="false" customWidth="true" hidden="false" outlineLevel="0" max="10" min="10" style="0" width="11"/>
    <col collapsed="false" customWidth="true" hidden="false" outlineLevel="0" max="11" min="11" style="0" width="12"/>
    <col collapsed="false" customWidth="true" hidden="false" outlineLevel="0" max="12" min="12" style="0" width="10"/>
    <col collapsed="false" customWidth="true" hidden="false" outlineLevel="0" max="13" min="13" style="0" width="80"/>
  </cols>
  <sheetData>
    <row r="1" customFormat="false" ht="42" hidden="false" customHeight="true" outlineLevel="0" collapsed="false">
      <c r="A1" s="8" t="s">
        <v>22</v>
      </c>
      <c r="B1" s="8" t="s">
        <v>23</v>
      </c>
      <c r="C1" s="8" t="s">
        <v>24</v>
      </c>
      <c r="D1" s="8" t="s">
        <v>25</v>
      </c>
      <c r="E1" s="8" t="s">
        <v>26</v>
      </c>
      <c r="F1" s="8" t="s">
        <v>27</v>
      </c>
      <c r="G1" s="8" t="s">
        <v>28</v>
      </c>
      <c r="H1" s="8" t="s">
        <v>29</v>
      </c>
      <c r="I1" s="8" t="s">
        <v>30</v>
      </c>
      <c r="J1" s="8" t="s">
        <v>31</v>
      </c>
      <c r="K1" s="8" t="s">
        <v>32</v>
      </c>
      <c r="L1" s="8" t="s">
        <v>33</v>
      </c>
      <c r="M1" s="8" t="s">
        <v>34</v>
      </c>
    </row>
    <row r="2" customFormat="false" ht="15" hidden="false" customHeight="false" outlineLevel="0" collapsed="false">
      <c r="A2" s="9" t="n">
        <v>1</v>
      </c>
      <c r="B2" s="9" t="s">
        <v>35</v>
      </c>
      <c r="C2" s="10" t="n">
        <v>4104</v>
      </c>
      <c r="D2" s="10" t="n">
        <v>2290</v>
      </c>
      <c r="E2" s="10" t="n">
        <v>6394</v>
      </c>
      <c r="F2" s="10" t="n">
        <v>270</v>
      </c>
      <c r="G2" s="10" t="n">
        <v>1637</v>
      </c>
      <c r="H2" s="10" t="n">
        <v>1040</v>
      </c>
      <c r="I2" s="10" t="n">
        <v>2677</v>
      </c>
      <c r="J2" s="10" t="n">
        <v>51</v>
      </c>
      <c r="K2" s="11" t="n">
        <f aca="false">IF(E2+F2=0,"",E2/(E2+F2))</f>
        <v>0.959483793517407</v>
      </c>
      <c r="L2" s="9" t="str">
        <f aca="false">IF(E2+I2&gt;0,"Yes","No")</f>
        <v>Yes</v>
      </c>
      <c r="M2" s="12" t="s">
        <v>36</v>
      </c>
    </row>
    <row r="3" customFormat="false" ht="15" hidden="false" customHeight="false" outlineLevel="0" collapsed="false">
      <c r="A3" s="13" t="n">
        <v>2</v>
      </c>
      <c r="B3" s="13" t="s">
        <v>47</v>
      </c>
      <c r="C3" s="6" t="n">
        <v>1840</v>
      </c>
      <c r="D3" s="6" t="n">
        <v>53</v>
      </c>
      <c r="E3" s="6" t="n">
        <v>1893</v>
      </c>
      <c r="F3" s="6" t="n">
        <v>12</v>
      </c>
      <c r="G3" s="6" t="n">
        <v>299</v>
      </c>
      <c r="H3" s="6" t="n">
        <v>330</v>
      </c>
      <c r="I3" s="6" t="n">
        <v>629</v>
      </c>
      <c r="J3" s="6" t="n">
        <v>6</v>
      </c>
      <c r="K3" s="7" t="n">
        <f aca="false">IF(E3+F3=0,"",E3/(E3+F3))</f>
        <v>0.993700787401575</v>
      </c>
      <c r="L3" s="13" t="str">
        <f aca="false">IF(E3+I3&gt;0,"Yes","No")</f>
        <v>Yes</v>
      </c>
      <c r="M3" s="14" t="s">
        <v>48</v>
      </c>
    </row>
    <row r="4" customFormat="false" ht="15" hidden="false" customHeight="false" outlineLevel="0" collapsed="false">
      <c r="A4" s="9" t="n">
        <v>3</v>
      </c>
      <c r="B4" s="9" t="s">
        <v>101</v>
      </c>
      <c r="C4" s="10" t="n">
        <v>160</v>
      </c>
      <c r="D4" s="10" t="n">
        <v>447</v>
      </c>
      <c r="E4" s="10" t="n">
        <v>607</v>
      </c>
      <c r="F4" s="10" t="n">
        <v>2</v>
      </c>
      <c r="G4" s="10" t="n">
        <v>27</v>
      </c>
      <c r="H4" s="10" t="n">
        <v>94</v>
      </c>
      <c r="I4" s="10" t="n">
        <v>121</v>
      </c>
      <c r="J4" s="10" t="n">
        <v>4</v>
      </c>
      <c r="K4" s="11" t="n">
        <f aca="false">IF(E4+F4=0,"",E4/(E4+F4))</f>
        <v>0.996715927750411</v>
      </c>
      <c r="L4" s="9" t="str">
        <f aca="false">IF(E4+I4&gt;0,"Yes","No")</f>
        <v>Yes</v>
      </c>
      <c r="M4" s="12" t="s">
        <v>102</v>
      </c>
    </row>
    <row r="5" customFormat="false" ht="15" hidden="false" customHeight="false" outlineLevel="0" collapsed="false">
      <c r="A5" s="13" t="n">
        <v>4</v>
      </c>
      <c r="B5" s="13" t="s">
        <v>45</v>
      </c>
      <c r="C5" s="6" t="n">
        <v>2010</v>
      </c>
      <c r="D5" s="6" t="n">
        <v>7</v>
      </c>
      <c r="E5" s="6" t="n">
        <v>2017</v>
      </c>
      <c r="F5" s="6" t="n">
        <v>58</v>
      </c>
      <c r="G5" s="6" t="n">
        <v>498</v>
      </c>
      <c r="H5" s="6" t="n">
        <v>485</v>
      </c>
      <c r="I5" s="6" t="n">
        <v>983</v>
      </c>
      <c r="J5" s="6" t="n">
        <v>13</v>
      </c>
      <c r="K5" s="7" t="n">
        <f aca="false">IF(E5+F5=0,"",E5/(E5+F5))</f>
        <v>0.972048192771084</v>
      </c>
      <c r="L5" s="13" t="str">
        <f aca="false">IF(E5+I5&gt;0,"Yes","No")</f>
        <v>Yes</v>
      </c>
      <c r="M5" s="14" t="s">
        <v>46</v>
      </c>
    </row>
    <row r="6" customFormat="false" ht="15" hidden="false" customHeight="false" outlineLevel="0" collapsed="false">
      <c r="A6" s="9" t="n">
        <v>5</v>
      </c>
      <c r="B6" s="9" t="s">
        <v>55</v>
      </c>
      <c r="C6" s="10" t="n">
        <v>1240</v>
      </c>
      <c r="D6" s="10" t="n">
        <v>208</v>
      </c>
      <c r="E6" s="10" t="n">
        <v>1448</v>
      </c>
      <c r="F6" s="10" t="n">
        <v>58</v>
      </c>
      <c r="G6" s="10" t="n">
        <v>742</v>
      </c>
      <c r="H6" s="10" t="n">
        <v>349</v>
      </c>
      <c r="I6" s="10" t="n">
        <v>1091</v>
      </c>
      <c r="J6" s="10" t="n">
        <v>20</v>
      </c>
      <c r="K6" s="11" t="n">
        <f aca="false">IF(E6+F6=0,"",E6/(E6+F6))</f>
        <v>0.961487383798141</v>
      </c>
      <c r="L6" s="9" t="str">
        <f aca="false">IF(E6+I6&gt;0,"Yes","No")</f>
        <v>Yes</v>
      </c>
      <c r="M6" s="12" t="s">
        <v>56</v>
      </c>
    </row>
    <row r="7" customFormat="false" ht="15" hidden="false" customHeight="false" outlineLevel="0" collapsed="false">
      <c r="A7" s="13" t="n">
        <v>6</v>
      </c>
      <c r="B7" s="13" t="s">
        <v>59</v>
      </c>
      <c r="C7" s="6" t="n">
        <v>670</v>
      </c>
      <c r="D7" s="6" t="n">
        <v>721</v>
      </c>
      <c r="E7" s="6" t="n">
        <v>1391</v>
      </c>
      <c r="F7" s="6" t="n">
        <v>14</v>
      </c>
      <c r="G7" s="6" t="n">
        <v>83</v>
      </c>
      <c r="H7" s="6" t="n">
        <v>177</v>
      </c>
      <c r="I7" s="6" t="n">
        <v>260</v>
      </c>
      <c r="J7" s="6" t="n">
        <v>1</v>
      </c>
      <c r="K7" s="7" t="n">
        <f aca="false">IF(E7+F7=0,"",E7/(E7+F7))</f>
        <v>0.990035587188612</v>
      </c>
      <c r="L7" s="13" t="str">
        <f aca="false">IF(E7+I7&gt;0,"Yes","No")</f>
        <v>Yes</v>
      </c>
      <c r="M7" s="14" t="s">
        <v>60</v>
      </c>
    </row>
    <row r="8" customFormat="false" ht="15" hidden="false" customHeight="false" outlineLevel="0" collapsed="false">
      <c r="A8" s="9" t="n">
        <v>7</v>
      </c>
      <c r="B8" s="9" t="s">
        <v>557</v>
      </c>
      <c r="C8" s="10" t="n">
        <v>14</v>
      </c>
      <c r="D8" s="10" t="n">
        <v>7</v>
      </c>
      <c r="E8" s="10" t="n">
        <v>21</v>
      </c>
      <c r="F8" s="10" t="n">
        <v>0</v>
      </c>
      <c r="G8" s="10" t="n">
        <v>7</v>
      </c>
      <c r="H8" s="10" t="n">
        <v>1</v>
      </c>
      <c r="I8" s="10" t="n">
        <v>8</v>
      </c>
      <c r="J8" s="10" t="n">
        <v>0</v>
      </c>
      <c r="K8" s="11" t="n">
        <f aca="false">IF(E8+F8=0,"",E8/(E8+F8))</f>
        <v>1</v>
      </c>
      <c r="L8" s="9" t="str">
        <f aca="false">IF(E8+I8&gt;0,"Yes","No")</f>
        <v>Yes</v>
      </c>
      <c r="M8" s="12" t="s">
        <v>558</v>
      </c>
    </row>
    <row r="9" customFormat="false" ht="15" hidden="false" customHeight="false" outlineLevel="0" collapsed="false">
      <c r="A9" s="13" t="n">
        <v>8</v>
      </c>
      <c r="B9" s="13" t="s">
        <v>293</v>
      </c>
      <c r="C9" s="6" t="n">
        <v>55</v>
      </c>
      <c r="D9" s="6" t="n">
        <v>54</v>
      </c>
      <c r="E9" s="6" t="n">
        <v>109</v>
      </c>
      <c r="F9" s="6" t="n">
        <v>1</v>
      </c>
      <c r="G9" s="6" t="n">
        <v>8</v>
      </c>
      <c r="H9" s="6" t="n">
        <v>8</v>
      </c>
      <c r="I9" s="6" t="n">
        <v>16</v>
      </c>
      <c r="J9" s="6" t="n">
        <v>1</v>
      </c>
      <c r="K9" s="7" t="n">
        <f aca="false">IF(E9+F9=0,"",E9/(E9+F9))</f>
        <v>0.990909090909091</v>
      </c>
      <c r="L9" s="13" t="str">
        <f aca="false">IF(E9+I9&gt;0,"Yes","No")</f>
        <v>Yes</v>
      </c>
      <c r="M9" s="14" t="s">
        <v>294</v>
      </c>
    </row>
    <row r="10" customFormat="false" ht="15" hidden="false" customHeight="false" outlineLevel="0" collapsed="false">
      <c r="A10" s="9" t="n">
        <v>9</v>
      </c>
      <c r="B10" s="9" t="s">
        <v>543</v>
      </c>
      <c r="C10" s="10" t="n">
        <v>21</v>
      </c>
      <c r="D10" s="10" t="n">
        <v>2</v>
      </c>
      <c r="E10" s="10" t="n">
        <v>23</v>
      </c>
      <c r="F10" s="10" t="n">
        <v>0</v>
      </c>
      <c r="G10" s="10" t="n">
        <v>2</v>
      </c>
      <c r="H10" s="10" t="n">
        <v>0</v>
      </c>
      <c r="I10" s="10" t="n">
        <v>2</v>
      </c>
      <c r="J10" s="10" t="n">
        <v>0</v>
      </c>
      <c r="K10" s="11" t="n">
        <f aca="false">IF(E10+F10=0,"",E10/(E10+F10))</f>
        <v>1</v>
      </c>
      <c r="L10" s="9" t="str">
        <f aca="false">IF(E10+I10&gt;0,"Yes","No")</f>
        <v>Yes</v>
      </c>
      <c r="M10" s="12" t="s">
        <v>544</v>
      </c>
    </row>
    <row r="11" customFormat="false" ht="15" hidden="false" customHeight="false" outlineLevel="0" collapsed="false">
      <c r="A11" s="13" t="n">
        <v>10</v>
      </c>
      <c r="B11" s="13" t="s">
        <v>407</v>
      </c>
      <c r="C11" s="6" t="n">
        <v>9</v>
      </c>
      <c r="D11" s="6" t="n">
        <v>38</v>
      </c>
      <c r="E11" s="6" t="n">
        <v>47</v>
      </c>
      <c r="F11" s="6" t="n">
        <v>0</v>
      </c>
      <c r="G11" s="6" t="n">
        <v>0</v>
      </c>
      <c r="H11" s="6" t="n">
        <v>4</v>
      </c>
      <c r="I11" s="6" t="n">
        <v>4</v>
      </c>
      <c r="J11" s="6" t="n">
        <v>0</v>
      </c>
      <c r="K11" s="7" t="n">
        <f aca="false">IF(E11+F11=0,"",E11/(E11+F11))</f>
        <v>1</v>
      </c>
      <c r="L11" s="13" t="str">
        <f aca="false">IF(E11+I11&gt;0,"Yes","No")</f>
        <v>Yes</v>
      </c>
      <c r="M11" s="14" t="s">
        <v>408</v>
      </c>
    </row>
    <row r="12" customFormat="false" ht="15" hidden="false" customHeight="false" outlineLevel="0" collapsed="false">
      <c r="A12" s="9" t="n">
        <v>11</v>
      </c>
      <c r="B12" s="9" t="s">
        <v>37</v>
      </c>
      <c r="C12" s="10" t="n">
        <v>1519</v>
      </c>
      <c r="D12" s="10" t="n">
        <v>1208</v>
      </c>
      <c r="E12" s="10" t="n">
        <v>2727</v>
      </c>
      <c r="F12" s="10" t="n">
        <v>113</v>
      </c>
      <c r="G12" s="10" t="n">
        <v>692</v>
      </c>
      <c r="H12" s="10" t="n">
        <v>643</v>
      </c>
      <c r="I12" s="10" t="n">
        <v>1335</v>
      </c>
      <c r="J12" s="10" t="n">
        <v>41</v>
      </c>
      <c r="K12" s="11" t="n">
        <f aca="false">IF(E12+F12=0,"",E12/(E12+F12))</f>
        <v>0.960211267605634</v>
      </c>
      <c r="L12" s="9" t="str">
        <f aca="false">IF(E12+I12&gt;0,"Yes","No")</f>
        <v>Yes</v>
      </c>
      <c r="M12" s="12" t="s">
        <v>38</v>
      </c>
    </row>
    <row r="13" customFormat="false" ht="15" hidden="false" customHeight="false" outlineLevel="0" collapsed="false">
      <c r="A13" s="13" t="n">
        <v>12</v>
      </c>
      <c r="B13" s="13" t="s">
        <v>71</v>
      </c>
      <c r="C13" s="6" t="n">
        <v>846</v>
      </c>
      <c r="D13" s="6" t="n">
        <v>151</v>
      </c>
      <c r="E13" s="6" t="n">
        <v>997</v>
      </c>
      <c r="F13" s="6" t="n">
        <v>15</v>
      </c>
      <c r="G13" s="6" t="n">
        <v>68</v>
      </c>
      <c r="H13" s="6" t="n">
        <v>560</v>
      </c>
      <c r="I13" s="6" t="n">
        <v>628</v>
      </c>
      <c r="J13" s="6" t="n">
        <v>6</v>
      </c>
      <c r="K13" s="7" t="n">
        <f aca="false">IF(E13+F13=0,"",E13/(E13+F13))</f>
        <v>0.985177865612648</v>
      </c>
      <c r="L13" s="13" t="str">
        <f aca="false">IF(E13+I13&gt;0,"Yes","No")</f>
        <v>Yes</v>
      </c>
      <c r="M13" s="14" t="s">
        <v>72</v>
      </c>
    </row>
    <row r="14" customFormat="false" ht="15" hidden="false" customHeight="false" outlineLevel="0" collapsed="false">
      <c r="A14" s="9" t="n">
        <v>13</v>
      </c>
      <c r="B14" s="9" t="s">
        <v>253</v>
      </c>
      <c r="C14" s="10" t="n">
        <v>53</v>
      </c>
      <c r="D14" s="10" t="n">
        <v>80</v>
      </c>
      <c r="E14" s="10" t="n">
        <v>133</v>
      </c>
      <c r="F14" s="10" t="n">
        <v>0</v>
      </c>
      <c r="G14" s="10" t="n">
        <v>6</v>
      </c>
      <c r="H14" s="10" t="n">
        <v>24</v>
      </c>
      <c r="I14" s="10" t="n">
        <v>30</v>
      </c>
      <c r="J14" s="10" t="n">
        <v>0</v>
      </c>
      <c r="K14" s="11" t="n">
        <f aca="false">IF(E14+F14=0,"",E14/(E14+F14))</f>
        <v>1</v>
      </c>
      <c r="L14" s="9" t="str">
        <f aca="false">IF(E14+I14&gt;0,"Yes","No")</f>
        <v>Yes</v>
      </c>
      <c r="M14" s="12" t="s">
        <v>254</v>
      </c>
    </row>
    <row r="15" customFormat="false" ht="15" hidden="false" customHeight="false" outlineLevel="0" collapsed="false">
      <c r="A15" s="13" t="n">
        <v>14</v>
      </c>
      <c r="B15" s="13" t="s">
        <v>143</v>
      </c>
      <c r="C15" s="6" t="n">
        <v>98</v>
      </c>
      <c r="D15" s="6" t="n">
        <v>278</v>
      </c>
      <c r="E15" s="6" t="n">
        <v>376</v>
      </c>
      <c r="F15" s="6" t="n">
        <v>2</v>
      </c>
      <c r="G15" s="6" t="n">
        <v>20</v>
      </c>
      <c r="H15" s="6" t="n">
        <v>77</v>
      </c>
      <c r="I15" s="6" t="n">
        <v>97</v>
      </c>
      <c r="J15" s="6" t="n">
        <v>0</v>
      </c>
      <c r="K15" s="7" t="n">
        <f aca="false">IF(E15+F15=0,"",E15/(E15+F15))</f>
        <v>0.994708994708995</v>
      </c>
      <c r="L15" s="13" t="str">
        <f aca="false">IF(E15+I15&gt;0,"Yes","No")</f>
        <v>Yes</v>
      </c>
      <c r="M15" s="14" t="s">
        <v>144</v>
      </c>
    </row>
    <row r="16" customFormat="false" ht="15" hidden="false" customHeight="false" outlineLevel="0" collapsed="false">
      <c r="A16" s="9" t="n">
        <v>15</v>
      </c>
      <c r="B16" s="9" t="s">
        <v>277</v>
      </c>
      <c r="C16" s="10" t="n">
        <v>48</v>
      </c>
      <c r="D16" s="10" t="n">
        <v>69</v>
      </c>
      <c r="E16" s="10" t="n">
        <v>117</v>
      </c>
      <c r="F16" s="10" t="n">
        <v>0</v>
      </c>
      <c r="G16" s="10" t="n">
        <v>17</v>
      </c>
      <c r="H16" s="10" t="n">
        <v>22</v>
      </c>
      <c r="I16" s="10" t="n">
        <v>39</v>
      </c>
      <c r="J16" s="10" t="n">
        <v>0</v>
      </c>
      <c r="K16" s="11" t="n">
        <f aca="false">IF(E16+F16=0,"",E16/(E16+F16))</f>
        <v>1</v>
      </c>
      <c r="L16" s="9" t="str">
        <f aca="false">IF(E16+I16&gt;0,"Yes","No")</f>
        <v>Yes</v>
      </c>
      <c r="M16" s="12" t="s">
        <v>278</v>
      </c>
    </row>
    <row r="17" customFormat="false" ht="15" hidden="false" customHeight="false" outlineLevel="0" collapsed="false">
      <c r="A17" s="13" t="n">
        <v>16</v>
      </c>
      <c r="B17" s="13" t="s">
        <v>49</v>
      </c>
      <c r="C17" s="6" t="n">
        <v>1062</v>
      </c>
      <c r="D17" s="6" t="n">
        <v>705</v>
      </c>
      <c r="E17" s="6" t="n">
        <v>1767</v>
      </c>
      <c r="F17" s="6" t="n">
        <v>14</v>
      </c>
      <c r="G17" s="6" t="n">
        <v>180</v>
      </c>
      <c r="H17" s="6" t="n">
        <v>163</v>
      </c>
      <c r="I17" s="6" t="n">
        <v>343</v>
      </c>
      <c r="J17" s="6" t="n">
        <v>1</v>
      </c>
      <c r="K17" s="7" t="n">
        <f aca="false">IF(E17+F17=0,"",E17/(E17+F17))</f>
        <v>0.9921392476137</v>
      </c>
      <c r="L17" s="13" t="str">
        <f aca="false">IF(E17+I17&gt;0,"Yes","No")</f>
        <v>Yes</v>
      </c>
      <c r="M17" s="14" t="s">
        <v>50</v>
      </c>
    </row>
    <row r="18" customFormat="false" ht="15" hidden="false" customHeight="false" outlineLevel="0" collapsed="false">
      <c r="A18" s="9" t="n">
        <v>17</v>
      </c>
      <c r="B18" s="9" t="s">
        <v>109</v>
      </c>
      <c r="C18" s="10" t="n">
        <v>446</v>
      </c>
      <c r="D18" s="10" t="n">
        <v>124</v>
      </c>
      <c r="E18" s="10" t="n">
        <v>570</v>
      </c>
      <c r="F18" s="10" t="n">
        <v>59</v>
      </c>
      <c r="G18" s="10" t="n">
        <v>456</v>
      </c>
      <c r="H18" s="10" t="n">
        <v>242</v>
      </c>
      <c r="I18" s="10" t="n">
        <v>698</v>
      </c>
      <c r="J18" s="10" t="n">
        <v>9</v>
      </c>
      <c r="K18" s="11" t="n">
        <f aca="false">IF(E18+F18=0,"",E18/(E18+F18))</f>
        <v>0.906200317965024</v>
      </c>
      <c r="L18" s="9" t="str">
        <f aca="false">IF(E18+I18&gt;0,"Yes","No")</f>
        <v>Yes</v>
      </c>
      <c r="M18" s="12" t="s">
        <v>110</v>
      </c>
    </row>
    <row r="19" customFormat="false" ht="15" hidden="false" customHeight="false" outlineLevel="0" collapsed="false">
      <c r="A19" s="13" t="n">
        <v>18</v>
      </c>
      <c r="B19" s="13" t="s">
        <v>131</v>
      </c>
      <c r="C19" s="6" t="n">
        <v>224</v>
      </c>
      <c r="D19" s="6" t="n">
        <v>215</v>
      </c>
      <c r="E19" s="6" t="n">
        <v>439</v>
      </c>
      <c r="F19" s="6" t="n">
        <v>2</v>
      </c>
      <c r="G19" s="6" t="n">
        <v>16</v>
      </c>
      <c r="H19" s="6" t="n">
        <v>57</v>
      </c>
      <c r="I19" s="6" t="n">
        <v>73</v>
      </c>
      <c r="J19" s="6" t="n">
        <v>3</v>
      </c>
      <c r="K19" s="7" t="n">
        <f aca="false">IF(E19+F19=0,"",E19/(E19+F19))</f>
        <v>0.99546485260771</v>
      </c>
      <c r="L19" s="13" t="str">
        <f aca="false">IF(E19+I19&gt;0,"Yes","No")</f>
        <v>Yes</v>
      </c>
      <c r="M19" s="14" t="s">
        <v>132</v>
      </c>
    </row>
    <row r="20" customFormat="false" ht="15" hidden="false" customHeight="false" outlineLevel="0" collapsed="false">
      <c r="A20" s="9" t="n">
        <v>19</v>
      </c>
      <c r="B20" s="9" t="s">
        <v>269</v>
      </c>
      <c r="C20" s="10" t="n">
        <v>40</v>
      </c>
      <c r="D20" s="10" t="n">
        <v>81</v>
      </c>
      <c r="E20" s="10" t="n">
        <v>121</v>
      </c>
      <c r="F20" s="10" t="n">
        <v>0</v>
      </c>
      <c r="G20" s="10" t="n">
        <v>2</v>
      </c>
      <c r="H20" s="10" t="n">
        <v>7</v>
      </c>
      <c r="I20" s="10" t="n">
        <v>9</v>
      </c>
      <c r="J20" s="10" t="n">
        <v>0</v>
      </c>
      <c r="K20" s="11" t="n">
        <f aca="false">IF(E20+F20=0,"",E20/(E20+F20))</f>
        <v>1</v>
      </c>
      <c r="L20" s="9" t="str">
        <f aca="false">IF(E20+I20&gt;0,"Yes","No")</f>
        <v>Yes</v>
      </c>
      <c r="M20" s="12" t="s">
        <v>270</v>
      </c>
    </row>
    <row r="21" customFormat="false" ht="15" hidden="false" customHeight="false" outlineLevel="0" collapsed="false">
      <c r="A21" s="13" t="n">
        <v>20</v>
      </c>
      <c r="B21" s="13" t="s">
        <v>91</v>
      </c>
      <c r="C21" s="6" t="n">
        <v>194</v>
      </c>
      <c r="D21" s="6" t="n">
        <v>537</v>
      </c>
      <c r="E21" s="6" t="n">
        <v>731</v>
      </c>
      <c r="F21" s="6" t="n">
        <v>2</v>
      </c>
      <c r="G21" s="6" t="n">
        <v>53</v>
      </c>
      <c r="H21" s="6" t="n">
        <v>72</v>
      </c>
      <c r="I21" s="6" t="n">
        <v>125</v>
      </c>
      <c r="J21" s="6" t="n">
        <v>0</v>
      </c>
      <c r="K21" s="7" t="n">
        <f aca="false">IF(E21+F21=0,"",E21/(E21+F21))</f>
        <v>0.997271487039564</v>
      </c>
      <c r="L21" s="13" t="str">
        <f aca="false">IF(E21+I21&gt;0,"Yes","No")</f>
        <v>Yes</v>
      </c>
      <c r="M21" s="14" t="s">
        <v>92</v>
      </c>
    </row>
    <row r="22" customFormat="false" ht="15" hidden="false" customHeight="false" outlineLevel="0" collapsed="false">
      <c r="A22" s="9" t="n">
        <v>21</v>
      </c>
      <c r="B22" s="9" t="s">
        <v>661</v>
      </c>
      <c r="C22" s="10" t="n">
        <v>5</v>
      </c>
      <c r="D22" s="10" t="n">
        <v>6</v>
      </c>
      <c r="E22" s="10" t="n">
        <v>11</v>
      </c>
      <c r="F22" s="10" t="n">
        <v>0</v>
      </c>
      <c r="G22" s="10" t="n">
        <v>6</v>
      </c>
      <c r="H22" s="10" t="n">
        <v>3</v>
      </c>
      <c r="I22" s="10" t="n">
        <v>9</v>
      </c>
      <c r="J22" s="10" t="n">
        <v>0</v>
      </c>
      <c r="K22" s="11" t="n">
        <f aca="false">IF(E22+F22=0,"",E22/(E22+F22))</f>
        <v>1</v>
      </c>
      <c r="L22" s="9" t="str">
        <f aca="false">IF(E22+I22&gt;0,"Yes","No")</f>
        <v>Yes</v>
      </c>
      <c r="M22" s="12" t="s">
        <v>662</v>
      </c>
    </row>
    <row r="23" customFormat="false" ht="15" hidden="false" customHeight="false" outlineLevel="0" collapsed="false">
      <c r="A23" s="13" t="n">
        <v>22</v>
      </c>
      <c r="B23" s="13" t="s">
        <v>83</v>
      </c>
      <c r="C23" s="6" t="n">
        <v>389</v>
      </c>
      <c r="D23" s="6" t="n">
        <v>443</v>
      </c>
      <c r="E23" s="6" t="n">
        <v>832</v>
      </c>
      <c r="F23" s="6" t="n">
        <v>22</v>
      </c>
      <c r="G23" s="6" t="n">
        <v>102</v>
      </c>
      <c r="H23" s="6" t="n">
        <v>54</v>
      </c>
      <c r="I23" s="6" t="n">
        <v>156</v>
      </c>
      <c r="J23" s="6" t="n">
        <v>5</v>
      </c>
      <c r="K23" s="7" t="n">
        <f aca="false">IF(E23+F23=0,"",E23/(E23+F23))</f>
        <v>0.97423887587822</v>
      </c>
      <c r="L23" s="13" t="str">
        <f aca="false">IF(E23+I23&gt;0,"Yes","No")</f>
        <v>Yes</v>
      </c>
      <c r="M23" s="14" t="s">
        <v>84</v>
      </c>
    </row>
    <row r="24" customFormat="false" ht="15" hidden="false" customHeight="false" outlineLevel="0" collapsed="false">
      <c r="A24" s="9" t="n">
        <v>23</v>
      </c>
      <c r="B24" s="9" t="s">
        <v>79</v>
      </c>
      <c r="C24" s="10" t="n">
        <v>301</v>
      </c>
      <c r="D24" s="10" t="n">
        <v>604</v>
      </c>
      <c r="E24" s="10" t="n">
        <v>905</v>
      </c>
      <c r="F24" s="10" t="n">
        <v>13</v>
      </c>
      <c r="G24" s="10" t="n">
        <v>116</v>
      </c>
      <c r="H24" s="10" t="n">
        <v>88</v>
      </c>
      <c r="I24" s="10" t="n">
        <v>204</v>
      </c>
      <c r="J24" s="10" t="n">
        <v>2</v>
      </c>
      <c r="K24" s="11" t="n">
        <f aca="false">IF(E24+F24=0,"",E24/(E24+F24))</f>
        <v>0.985838779956427</v>
      </c>
      <c r="L24" s="9" t="str">
        <f aca="false">IF(E24+I24&gt;0,"Yes","No")</f>
        <v>Yes</v>
      </c>
      <c r="M24" s="12" t="s">
        <v>80</v>
      </c>
    </row>
    <row r="25" customFormat="false" ht="15" hidden="false" customHeight="false" outlineLevel="0" collapsed="false">
      <c r="A25" s="13" t="n">
        <v>24</v>
      </c>
      <c r="B25" s="13" t="s">
        <v>57</v>
      </c>
      <c r="C25" s="6" t="n">
        <v>630</v>
      </c>
      <c r="D25" s="6" t="n">
        <v>776</v>
      </c>
      <c r="E25" s="6" t="n">
        <v>1406</v>
      </c>
      <c r="F25" s="6" t="n">
        <v>4</v>
      </c>
      <c r="G25" s="6" t="n">
        <v>105</v>
      </c>
      <c r="H25" s="6" t="n">
        <v>234</v>
      </c>
      <c r="I25" s="6" t="n">
        <v>339</v>
      </c>
      <c r="J25" s="6" t="n">
        <v>3</v>
      </c>
      <c r="K25" s="7" t="n">
        <f aca="false">IF(E25+F25=0,"",E25/(E25+F25))</f>
        <v>0.997163120567376</v>
      </c>
      <c r="L25" s="13" t="str">
        <f aca="false">IF(E25+I25&gt;0,"Yes","No")</f>
        <v>Yes</v>
      </c>
      <c r="M25" s="14" t="s">
        <v>58</v>
      </c>
    </row>
    <row r="26" customFormat="false" ht="15" hidden="false" customHeight="false" outlineLevel="0" collapsed="false">
      <c r="A26" s="9" t="n">
        <v>25</v>
      </c>
      <c r="B26" s="9" t="s">
        <v>157</v>
      </c>
      <c r="C26" s="10" t="n">
        <v>134</v>
      </c>
      <c r="D26" s="10" t="n">
        <v>161</v>
      </c>
      <c r="E26" s="10" t="n">
        <v>295</v>
      </c>
      <c r="F26" s="10" t="n">
        <v>1</v>
      </c>
      <c r="G26" s="10" t="n">
        <v>11</v>
      </c>
      <c r="H26" s="10" t="n">
        <v>52</v>
      </c>
      <c r="I26" s="10" t="n">
        <v>63</v>
      </c>
      <c r="J26" s="10" t="n">
        <v>2</v>
      </c>
      <c r="K26" s="11" t="n">
        <f aca="false">IF(E26+F26=0,"",E26/(E26+F26))</f>
        <v>0.996621621621622</v>
      </c>
      <c r="L26" s="9" t="str">
        <f aca="false">IF(E26+I26&gt;0,"Yes","No")</f>
        <v>Yes</v>
      </c>
      <c r="M26" s="12" t="s">
        <v>158</v>
      </c>
    </row>
    <row r="27" customFormat="false" ht="15" hidden="false" customHeight="false" outlineLevel="0" collapsed="false">
      <c r="A27" s="13" t="n">
        <v>26</v>
      </c>
      <c r="B27" s="13" t="s">
        <v>439</v>
      </c>
      <c r="C27" s="6" t="n">
        <v>7</v>
      </c>
      <c r="D27" s="6" t="n">
        <v>35</v>
      </c>
      <c r="E27" s="6" t="n">
        <v>42</v>
      </c>
      <c r="F27" s="6" t="n">
        <v>0</v>
      </c>
      <c r="G27" s="6" t="n">
        <v>2</v>
      </c>
      <c r="H27" s="6" t="n">
        <v>1</v>
      </c>
      <c r="I27" s="6" t="n">
        <v>3</v>
      </c>
      <c r="J27" s="6" t="n">
        <v>0</v>
      </c>
      <c r="K27" s="7" t="n">
        <f aca="false">IF(E27+F27=0,"",E27/(E27+F27))</f>
        <v>1</v>
      </c>
      <c r="L27" s="13" t="str">
        <f aca="false">IF(E27+I27&gt;0,"Yes","No")</f>
        <v>Yes</v>
      </c>
      <c r="M27" s="14" t="s">
        <v>440</v>
      </c>
    </row>
    <row r="28" customFormat="false" ht="15" hidden="false" customHeight="false" outlineLevel="0" collapsed="false">
      <c r="A28" s="9" t="n">
        <v>27</v>
      </c>
      <c r="B28" s="9" t="s">
        <v>373</v>
      </c>
      <c r="C28" s="10" t="n">
        <v>21</v>
      </c>
      <c r="D28" s="10" t="n">
        <v>43</v>
      </c>
      <c r="E28" s="10" t="n">
        <v>64</v>
      </c>
      <c r="F28" s="10" t="n">
        <v>0</v>
      </c>
      <c r="G28" s="10" t="n">
        <v>5</v>
      </c>
      <c r="H28" s="10" t="n">
        <v>7</v>
      </c>
      <c r="I28" s="10" t="n">
        <v>12</v>
      </c>
      <c r="J28" s="10" t="n">
        <v>0</v>
      </c>
      <c r="K28" s="11" t="n">
        <f aca="false">IF(E28+F28=0,"",E28/(E28+F28))</f>
        <v>1</v>
      </c>
      <c r="L28" s="9" t="str">
        <f aca="false">IF(E28+I28&gt;0,"Yes","No")</f>
        <v>Yes</v>
      </c>
      <c r="M28" s="12" t="s">
        <v>374</v>
      </c>
    </row>
    <row r="29" customFormat="false" ht="15" hidden="false" customHeight="false" outlineLevel="0" collapsed="false">
      <c r="A29" s="13" t="n">
        <v>28</v>
      </c>
      <c r="B29" s="13" t="s">
        <v>139</v>
      </c>
      <c r="C29" s="6" t="n">
        <v>80</v>
      </c>
      <c r="D29" s="6" t="n">
        <v>311</v>
      </c>
      <c r="E29" s="6" t="n">
        <v>391</v>
      </c>
      <c r="F29" s="6" t="n">
        <v>2</v>
      </c>
      <c r="G29" s="6" t="n">
        <v>11</v>
      </c>
      <c r="H29" s="6" t="n">
        <v>42</v>
      </c>
      <c r="I29" s="6" t="n">
        <v>53</v>
      </c>
      <c r="J29" s="6" t="n">
        <v>0</v>
      </c>
      <c r="K29" s="7" t="n">
        <f aca="false">IF(E29+F29=0,"",E29/(E29+F29))</f>
        <v>0.994910941475827</v>
      </c>
      <c r="L29" s="13" t="str">
        <f aca="false">IF(E29+I29&gt;0,"Yes","No")</f>
        <v>Yes</v>
      </c>
      <c r="M29" s="14" t="s">
        <v>140</v>
      </c>
    </row>
    <row r="30" customFormat="false" ht="15" hidden="false" customHeight="false" outlineLevel="0" collapsed="false">
      <c r="A30" s="9" t="n">
        <v>29</v>
      </c>
      <c r="B30" s="9" t="s">
        <v>643</v>
      </c>
      <c r="C30" s="10" t="n">
        <v>4</v>
      </c>
      <c r="D30" s="10" t="n">
        <v>9</v>
      </c>
      <c r="E30" s="10" t="n">
        <v>13</v>
      </c>
      <c r="F30" s="10" t="n">
        <v>0</v>
      </c>
      <c r="G30" s="10" t="n">
        <v>0</v>
      </c>
      <c r="H30" s="10" t="n">
        <v>1</v>
      </c>
      <c r="I30" s="10" t="n">
        <v>1</v>
      </c>
      <c r="J30" s="10" t="n">
        <v>0</v>
      </c>
      <c r="K30" s="11" t="n">
        <f aca="false">IF(E30+F30=0,"",E30/(E30+F30))</f>
        <v>1</v>
      </c>
      <c r="L30" s="9" t="str">
        <f aca="false">IF(E30+I30&gt;0,"Yes","No")</f>
        <v>Yes</v>
      </c>
      <c r="M30" s="12" t="s">
        <v>644</v>
      </c>
    </row>
    <row r="31" customFormat="false" ht="15" hidden="false" customHeight="false" outlineLevel="0" collapsed="false">
      <c r="A31" s="13" t="n">
        <v>30</v>
      </c>
      <c r="B31" s="13" t="s">
        <v>511</v>
      </c>
      <c r="C31" s="6" t="n">
        <v>12</v>
      </c>
      <c r="D31" s="6" t="n">
        <v>15</v>
      </c>
      <c r="E31" s="6" t="n">
        <v>27</v>
      </c>
      <c r="F31" s="6" t="n">
        <v>0</v>
      </c>
      <c r="G31" s="6" t="n">
        <v>0</v>
      </c>
      <c r="H31" s="6" t="n">
        <v>1</v>
      </c>
      <c r="I31" s="6" t="n">
        <v>1</v>
      </c>
      <c r="J31" s="6" t="n">
        <v>0</v>
      </c>
      <c r="K31" s="7" t="n">
        <f aca="false">IF(E31+F31=0,"",E31/(E31+F31))</f>
        <v>1</v>
      </c>
      <c r="L31" s="13" t="str">
        <f aca="false">IF(E31+I31&gt;0,"Yes","No")</f>
        <v>Yes</v>
      </c>
      <c r="M31" s="14" t="s">
        <v>512</v>
      </c>
    </row>
    <row r="32" customFormat="false" ht="15" hidden="false" customHeight="false" outlineLevel="0" collapsed="false">
      <c r="A32" s="9" t="n">
        <v>31</v>
      </c>
      <c r="B32" s="9" t="s">
        <v>589</v>
      </c>
      <c r="C32" s="10" t="n">
        <v>11</v>
      </c>
      <c r="D32" s="10" t="n">
        <v>6</v>
      </c>
      <c r="E32" s="10" t="n">
        <v>17</v>
      </c>
      <c r="F32" s="10" t="n">
        <v>0</v>
      </c>
      <c r="G32" s="10" t="n">
        <v>0</v>
      </c>
      <c r="H32" s="10" t="n">
        <v>1</v>
      </c>
      <c r="I32" s="10" t="n">
        <v>1</v>
      </c>
      <c r="J32" s="10" t="n">
        <v>0</v>
      </c>
      <c r="K32" s="11" t="n">
        <f aca="false">IF(E32+F32=0,"",E32/(E32+F32))</f>
        <v>1</v>
      </c>
      <c r="L32" s="9" t="str">
        <f aca="false">IF(E32+I32&gt;0,"Yes","No")</f>
        <v>Yes</v>
      </c>
      <c r="M32" s="12" t="s">
        <v>590</v>
      </c>
    </row>
    <row r="33" customFormat="false" ht="15" hidden="false" customHeight="false" outlineLevel="0" collapsed="false">
      <c r="A33" s="13" t="n">
        <v>32</v>
      </c>
      <c r="B33" s="13" t="s">
        <v>243</v>
      </c>
      <c r="C33" s="6" t="n">
        <v>55</v>
      </c>
      <c r="D33" s="6" t="n">
        <v>90</v>
      </c>
      <c r="E33" s="6" t="n">
        <v>145</v>
      </c>
      <c r="F33" s="6" t="n">
        <v>5</v>
      </c>
      <c r="G33" s="6" t="n">
        <v>17</v>
      </c>
      <c r="H33" s="6" t="n">
        <v>23</v>
      </c>
      <c r="I33" s="6" t="n">
        <v>40</v>
      </c>
      <c r="J33" s="6" t="n">
        <v>3</v>
      </c>
      <c r="K33" s="7" t="n">
        <f aca="false">IF(E33+F33=0,"",E33/(E33+F33))</f>
        <v>0.966666666666667</v>
      </c>
      <c r="L33" s="13" t="str">
        <f aca="false">IF(E33+I33&gt;0,"Yes","No")</f>
        <v>Yes</v>
      </c>
      <c r="M33" s="14" t="s">
        <v>244</v>
      </c>
    </row>
    <row r="34" customFormat="false" ht="15" hidden="false" customHeight="false" outlineLevel="0" collapsed="false">
      <c r="A34" s="9" t="n">
        <v>33</v>
      </c>
      <c r="B34" s="9" t="s">
        <v>211</v>
      </c>
      <c r="C34" s="10" t="n">
        <v>86</v>
      </c>
      <c r="D34" s="10" t="n">
        <v>106</v>
      </c>
      <c r="E34" s="10" t="n">
        <v>192</v>
      </c>
      <c r="F34" s="10" t="n">
        <v>0</v>
      </c>
      <c r="G34" s="10" t="n">
        <v>29</v>
      </c>
      <c r="H34" s="10" t="n">
        <v>33</v>
      </c>
      <c r="I34" s="10" t="n">
        <v>62</v>
      </c>
      <c r="J34" s="10" t="n">
        <v>0</v>
      </c>
      <c r="K34" s="11" t="n">
        <f aca="false">IF(E34+F34=0,"",E34/(E34+F34))</f>
        <v>1</v>
      </c>
      <c r="L34" s="9" t="str">
        <f aca="false">IF(E34+I34&gt;0,"Yes","No")</f>
        <v>Yes</v>
      </c>
      <c r="M34" s="12" t="s">
        <v>212</v>
      </c>
    </row>
    <row r="35" customFormat="false" ht="15" hidden="false" customHeight="false" outlineLevel="0" collapsed="false">
      <c r="A35" s="13" t="n">
        <v>34</v>
      </c>
      <c r="B35" s="13" t="s">
        <v>121</v>
      </c>
      <c r="C35" s="6" t="n">
        <v>249</v>
      </c>
      <c r="D35" s="6" t="n">
        <v>253</v>
      </c>
      <c r="E35" s="6" t="n">
        <v>502</v>
      </c>
      <c r="F35" s="6" t="n">
        <v>3</v>
      </c>
      <c r="G35" s="6" t="n">
        <v>43</v>
      </c>
      <c r="H35" s="6" t="n">
        <v>31</v>
      </c>
      <c r="I35" s="6" t="n">
        <v>74</v>
      </c>
      <c r="J35" s="6" t="n">
        <v>2</v>
      </c>
      <c r="K35" s="7" t="n">
        <f aca="false">IF(E35+F35=0,"",E35/(E35+F35))</f>
        <v>0.994059405940594</v>
      </c>
      <c r="L35" s="13" t="str">
        <f aca="false">IF(E35+I35&gt;0,"Yes","No")</f>
        <v>Yes</v>
      </c>
      <c r="M35" s="14" t="s">
        <v>122</v>
      </c>
    </row>
    <row r="36" customFormat="false" ht="15" hidden="false" customHeight="false" outlineLevel="0" collapsed="false">
      <c r="A36" s="9" t="n">
        <v>35</v>
      </c>
      <c r="B36" s="9" t="s">
        <v>51</v>
      </c>
      <c r="C36" s="10" t="n">
        <v>1134</v>
      </c>
      <c r="D36" s="10" t="n">
        <v>573</v>
      </c>
      <c r="E36" s="10" t="n">
        <v>1707</v>
      </c>
      <c r="F36" s="10" t="n">
        <v>29</v>
      </c>
      <c r="G36" s="10" t="n">
        <v>68</v>
      </c>
      <c r="H36" s="10" t="n">
        <v>80</v>
      </c>
      <c r="I36" s="10" t="n">
        <v>148</v>
      </c>
      <c r="J36" s="10" t="n">
        <v>32</v>
      </c>
      <c r="K36" s="11" t="n">
        <f aca="false">IF(E36+F36=0,"",E36/(E36+F36))</f>
        <v>0.983294930875576</v>
      </c>
      <c r="L36" s="9" t="str">
        <f aca="false">IF(E36+I36&gt;0,"Yes","No")</f>
        <v>Yes</v>
      </c>
      <c r="M36" s="12" t="s">
        <v>52</v>
      </c>
    </row>
    <row r="37" customFormat="false" ht="15" hidden="false" customHeight="false" outlineLevel="0" collapsed="false">
      <c r="A37" s="13" t="n">
        <v>36</v>
      </c>
      <c r="B37" s="13" t="s">
        <v>95</v>
      </c>
      <c r="C37" s="6" t="n">
        <v>182</v>
      </c>
      <c r="D37" s="6" t="n">
        <v>452</v>
      </c>
      <c r="E37" s="6" t="n">
        <v>634</v>
      </c>
      <c r="F37" s="6" t="n">
        <v>8</v>
      </c>
      <c r="G37" s="6" t="n">
        <v>36</v>
      </c>
      <c r="H37" s="6" t="n">
        <v>96</v>
      </c>
      <c r="I37" s="6" t="n">
        <v>132</v>
      </c>
      <c r="J37" s="6" t="n">
        <v>0</v>
      </c>
      <c r="K37" s="7" t="n">
        <f aca="false">IF(E37+F37=0,"",E37/(E37+F37))</f>
        <v>0.987538940809969</v>
      </c>
      <c r="L37" s="13" t="str">
        <f aca="false">IF(E37+I37&gt;0,"Yes","No")</f>
        <v>Yes</v>
      </c>
      <c r="M37" s="14" t="s">
        <v>96</v>
      </c>
    </row>
    <row r="38" customFormat="false" ht="15" hidden="false" customHeight="false" outlineLevel="0" collapsed="false">
      <c r="A38" s="9" t="n">
        <v>37</v>
      </c>
      <c r="B38" s="9" t="s">
        <v>103</v>
      </c>
      <c r="C38" s="10" t="n">
        <v>257</v>
      </c>
      <c r="D38" s="10" t="n">
        <v>338</v>
      </c>
      <c r="E38" s="10" t="n">
        <v>595</v>
      </c>
      <c r="F38" s="10" t="n">
        <v>2</v>
      </c>
      <c r="G38" s="10" t="n">
        <v>34</v>
      </c>
      <c r="H38" s="10" t="n">
        <v>68</v>
      </c>
      <c r="I38" s="10" t="n">
        <v>102</v>
      </c>
      <c r="J38" s="10" t="n">
        <v>0</v>
      </c>
      <c r="K38" s="11" t="n">
        <f aca="false">IF(E38+F38=0,"",E38/(E38+F38))</f>
        <v>0.996649916247906</v>
      </c>
      <c r="L38" s="9" t="str">
        <f aca="false">IF(E38+I38&gt;0,"Yes","No")</f>
        <v>Yes</v>
      </c>
      <c r="M38" s="12" t="s">
        <v>104</v>
      </c>
    </row>
    <row r="39" customFormat="false" ht="15" hidden="false" customHeight="false" outlineLevel="0" collapsed="false">
      <c r="A39" s="13" t="n">
        <v>38</v>
      </c>
      <c r="B39" s="13" t="s">
        <v>75</v>
      </c>
      <c r="C39" s="6" t="n">
        <v>400</v>
      </c>
      <c r="D39" s="6" t="n">
        <v>536</v>
      </c>
      <c r="E39" s="6" t="n">
        <v>936</v>
      </c>
      <c r="F39" s="6" t="n">
        <v>14</v>
      </c>
      <c r="G39" s="6" t="n">
        <v>90</v>
      </c>
      <c r="H39" s="6" t="n">
        <v>70</v>
      </c>
      <c r="I39" s="6" t="n">
        <v>160</v>
      </c>
      <c r="J39" s="6" t="n">
        <v>3</v>
      </c>
      <c r="K39" s="7" t="n">
        <f aca="false">IF(E39+F39=0,"",E39/(E39+F39))</f>
        <v>0.985263157894737</v>
      </c>
      <c r="L39" s="13" t="str">
        <f aca="false">IF(E39+I39&gt;0,"Yes","No")</f>
        <v>Yes</v>
      </c>
      <c r="M39" s="14" t="s">
        <v>76</v>
      </c>
    </row>
    <row r="40" customFormat="false" ht="15" hidden="false" customHeight="false" outlineLevel="0" collapsed="false">
      <c r="A40" s="9" t="n">
        <v>39</v>
      </c>
      <c r="B40" s="9" t="s">
        <v>619</v>
      </c>
      <c r="C40" s="10" t="n">
        <v>14</v>
      </c>
      <c r="D40" s="10" t="n">
        <v>1</v>
      </c>
      <c r="E40" s="10" t="n">
        <v>15</v>
      </c>
      <c r="F40" s="10" t="n">
        <v>0</v>
      </c>
      <c r="G40" s="10" t="n">
        <v>0</v>
      </c>
      <c r="H40" s="10" t="n">
        <v>2</v>
      </c>
      <c r="I40" s="10" t="n">
        <v>2</v>
      </c>
      <c r="J40" s="10" t="n">
        <v>0</v>
      </c>
      <c r="K40" s="11" t="n">
        <f aca="false">IF(E40+F40=0,"",E40/(E40+F40))</f>
        <v>1</v>
      </c>
      <c r="L40" s="9" t="str">
        <f aca="false">IF(E40+I40&gt;0,"Yes","No")</f>
        <v>Yes</v>
      </c>
      <c r="M40" s="12" t="s">
        <v>620</v>
      </c>
    </row>
    <row r="41" customFormat="false" ht="15" hidden="false" customHeight="false" outlineLevel="0" collapsed="false">
      <c r="A41" s="13" t="n">
        <v>40</v>
      </c>
      <c r="B41" s="13" t="s">
        <v>137</v>
      </c>
      <c r="C41" s="6" t="n">
        <v>155</v>
      </c>
      <c r="D41" s="6" t="n">
        <v>250</v>
      </c>
      <c r="E41" s="6" t="n">
        <v>405</v>
      </c>
      <c r="F41" s="6" t="n">
        <v>5</v>
      </c>
      <c r="G41" s="6" t="n">
        <v>62</v>
      </c>
      <c r="H41" s="6" t="n">
        <v>33</v>
      </c>
      <c r="I41" s="6" t="n">
        <v>95</v>
      </c>
      <c r="J41" s="6" t="n">
        <v>0</v>
      </c>
      <c r="K41" s="7" t="n">
        <f aca="false">IF(E41+F41=0,"",E41/(E41+F41))</f>
        <v>0.987804878048781</v>
      </c>
      <c r="L41" s="13" t="str">
        <f aca="false">IF(E41+I41&gt;0,"Yes","No")</f>
        <v>Yes</v>
      </c>
      <c r="M41" s="14" t="s">
        <v>138</v>
      </c>
    </row>
    <row r="42" customFormat="false" ht="15" hidden="false" customHeight="false" outlineLevel="0" collapsed="false">
      <c r="A42" s="9" t="n">
        <v>41</v>
      </c>
      <c r="B42" s="9" t="s">
        <v>189</v>
      </c>
      <c r="C42" s="10" t="n">
        <v>63</v>
      </c>
      <c r="D42" s="10" t="n">
        <v>160</v>
      </c>
      <c r="E42" s="10" t="n">
        <v>223</v>
      </c>
      <c r="F42" s="10" t="n">
        <v>0</v>
      </c>
      <c r="G42" s="10" t="n">
        <v>6</v>
      </c>
      <c r="H42" s="10" t="n">
        <v>25</v>
      </c>
      <c r="I42" s="10" t="n">
        <v>31</v>
      </c>
      <c r="J42" s="10" t="n">
        <v>2</v>
      </c>
      <c r="K42" s="11" t="n">
        <f aca="false">IF(E42+F42=0,"",E42/(E42+F42))</f>
        <v>1</v>
      </c>
      <c r="L42" s="9" t="str">
        <f aca="false">IF(E42+I42&gt;0,"Yes","No")</f>
        <v>Yes</v>
      </c>
      <c r="M42" s="12" t="s">
        <v>190</v>
      </c>
    </row>
    <row r="43" customFormat="false" ht="15" hidden="false" customHeight="false" outlineLevel="0" collapsed="false">
      <c r="A43" s="13" t="n">
        <v>42</v>
      </c>
      <c r="B43" s="13" t="s">
        <v>69</v>
      </c>
      <c r="C43" s="6" t="n">
        <v>756</v>
      </c>
      <c r="D43" s="6" t="n">
        <v>335</v>
      </c>
      <c r="E43" s="6" t="n">
        <v>1091</v>
      </c>
      <c r="F43" s="6" t="n">
        <v>8</v>
      </c>
      <c r="G43" s="6" t="n">
        <v>457</v>
      </c>
      <c r="H43" s="6" t="n">
        <v>178</v>
      </c>
      <c r="I43" s="6" t="n">
        <v>635</v>
      </c>
      <c r="J43" s="6" t="n">
        <v>33</v>
      </c>
      <c r="K43" s="7" t="n">
        <f aca="false">IF(E43+F43=0,"",E43/(E43+F43))</f>
        <v>0.992720655141037</v>
      </c>
      <c r="L43" s="13" t="str">
        <f aca="false">IF(E43+I43&gt;0,"Yes","No")</f>
        <v>Yes</v>
      </c>
      <c r="M43" s="14" t="s">
        <v>70</v>
      </c>
    </row>
    <row r="44" customFormat="false" ht="15" hidden="false" customHeight="false" outlineLevel="0" collapsed="false">
      <c r="A44" s="9" t="n">
        <v>43</v>
      </c>
      <c r="B44" s="9" t="s">
        <v>297</v>
      </c>
      <c r="C44" s="10" t="n">
        <v>27</v>
      </c>
      <c r="D44" s="10" t="n">
        <v>76</v>
      </c>
      <c r="E44" s="10" t="n">
        <v>103</v>
      </c>
      <c r="F44" s="10" t="n">
        <v>1</v>
      </c>
      <c r="G44" s="10" t="n">
        <v>6</v>
      </c>
      <c r="H44" s="10" t="n">
        <v>13</v>
      </c>
      <c r="I44" s="10" t="n">
        <v>19</v>
      </c>
      <c r="J44" s="10" t="n">
        <v>0</v>
      </c>
      <c r="K44" s="11" t="n">
        <f aca="false">IF(E44+F44=0,"",E44/(E44+F44))</f>
        <v>0.990384615384615</v>
      </c>
      <c r="L44" s="9" t="str">
        <f aca="false">IF(E44+I44&gt;0,"Yes","No")</f>
        <v>Yes</v>
      </c>
      <c r="M44" s="12" t="s">
        <v>298</v>
      </c>
    </row>
    <row r="45" customFormat="false" ht="15" hidden="false" customHeight="false" outlineLevel="0" collapsed="false">
      <c r="A45" s="13" t="n">
        <v>44</v>
      </c>
      <c r="B45" s="13" t="s">
        <v>295</v>
      </c>
      <c r="C45" s="6" t="n">
        <v>55</v>
      </c>
      <c r="D45" s="6" t="n">
        <v>48</v>
      </c>
      <c r="E45" s="6" t="n">
        <v>103</v>
      </c>
      <c r="F45" s="6" t="n">
        <v>2</v>
      </c>
      <c r="G45" s="6" t="n">
        <v>24</v>
      </c>
      <c r="H45" s="6" t="n">
        <v>11</v>
      </c>
      <c r="I45" s="6" t="n">
        <v>35</v>
      </c>
      <c r="J45" s="6" t="n">
        <v>0</v>
      </c>
      <c r="K45" s="7" t="n">
        <f aca="false">IF(E45+F45=0,"",E45/(E45+F45))</f>
        <v>0.980952380952381</v>
      </c>
      <c r="L45" s="13" t="str">
        <f aca="false">IF(E45+I45&gt;0,"Yes","No")</f>
        <v>Yes</v>
      </c>
      <c r="M45" s="14" t="s">
        <v>296</v>
      </c>
    </row>
    <row r="46" customFormat="false" ht="15" hidden="false" customHeight="false" outlineLevel="0" collapsed="false">
      <c r="A46" s="9" t="n">
        <v>45</v>
      </c>
      <c r="B46" s="9" t="s">
        <v>387</v>
      </c>
      <c r="C46" s="10" t="n">
        <v>29</v>
      </c>
      <c r="D46" s="10" t="n">
        <v>32</v>
      </c>
      <c r="E46" s="10" t="n">
        <v>61</v>
      </c>
      <c r="F46" s="10" t="n">
        <v>0</v>
      </c>
      <c r="G46" s="10" t="n">
        <v>0</v>
      </c>
      <c r="H46" s="10" t="n">
        <v>3</v>
      </c>
      <c r="I46" s="10" t="n">
        <v>3</v>
      </c>
      <c r="J46" s="10" t="n">
        <v>0</v>
      </c>
      <c r="K46" s="11" t="n">
        <f aca="false">IF(E46+F46=0,"",E46/(E46+F46))</f>
        <v>1</v>
      </c>
      <c r="L46" s="9" t="str">
        <f aca="false">IF(E46+I46&gt;0,"Yes","No")</f>
        <v>Yes</v>
      </c>
      <c r="M46" s="12" t="s">
        <v>388</v>
      </c>
    </row>
    <row r="47" customFormat="false" ht="15" hidden="false" customHeight="false" outlineLevel="0" collapsed="false">
      <c r="A47" s="13" t="n">
        <v>46</v>
      </c>
      <c r="B47" s="13" t="s">
        <v>479</v>
      </c>
      <c r="C47" s="6" t="n">
        <v>23</v>
      </c>
      <c r="D47" s="6" t="n">
        <v>9</v>
      </c>
      <c r="E47" s="6" t="n">
        <v>32</v>
      </c>
      <c r="F47" s="6" t="n">
        <v>1</v>
      </c>
      <c r="G47" s="6" t="n">
        <v>15</v>
      </c>
      <c r="H47" s="6" t="n">
        <v>4</v>
      </c>
      <c r="I47" s="6" t="n">
        <v>19</v>
      </c>
      <c r="J47" s="6" t="n">
        <v>2</v>
      </c>
      <c r="K47" s="7" t="n">
        <f aca="false">IF(E47+F47=0,"",E47/(E47+F47))</f>
        <v>0.96969696969697</v>
      </c>
      <c r="L47" s="13" t="str">
        <f aca="false">IF(E47+I47&gt;0,"Yes","No")</f>
        <v>Yes</v>
      </c>
      <c r="M47" s="14" t="s">
        <v>480</v>
      </c>
    </row>
    <row r="48" customFormat="false" ht="15" hidden="false" customHeight="false" outlineLevel="0" collapsed="false">
      <c r="A48" s="9" t="n">
        <v>47</v>
      </c>
      <c r="B48" s="9" t="s">
        <v>385</v>
      </c>
      <c r="C48" s="10" t="n">
        <v>58</v>
      </c>
      <c r="D48" s="10" t="n">
        <v>3</v>
      </c>
      <c r="E48" s="10" t="n">
        <v>61</v>
      </c>
      <c r="F48" s="10" t="n">
        <v>0</v>
      </c>
      <c r="G48" s="10" t="n">
        <v>14</v>
      </c>
      <c r="H48" s="10" t="n">
        <v>1</v>
      </c>
      <c r="I48" s="10" t="n">
        <v>15</v>
      </c>
      <c r="J48" s="10" t="n">
        <v>0</v>
      </c>
      <c r="K48" s="11" t="n">
        <f aca="false">IF(E48+F48=0,"",E48/(E48+F48))</f>
        <v>1</v>
      </c>
      <c r="L48" s="9" t="str">
        <f aca="false">IF(E48+I48&gt;0,"Yes","No")</f>
        <v>Yes</v>
      </c>
      <c r="M48" s="12" t="s">
        <v>386</v>
      </c>
    </row>
    <row r="49" customFormat="false" ht="15" hidden="false" customHeight="false" outlineLevel="0" collapsed="false">
      <c r="A49" s="13" t="n">
        <v>48</v>
      </c>
      <c r="B49" s="13" t="s">
        <v>203</v>
      </c>
      <c r="C49" s="6" t="n">
        <v>141</v>
      </c>
      <c r="D49" s="6" t="n">
        <v>64</v>
      </c>
      <c r="E49" s="6" t="n">
        <v>205</v>
      </c>
      <c r="F49" s="6" t="n">
        <v>2</v>
      </c>
      <c r="G49" s="6" t="n">
        <v>54</v>
      </c>
      <c r="H49" s="6" t="n">
        <v>22</v>
      </c>
      <c r="I49" s="6" t="n">
        <v>76</v>
      </c>
      <c r="J49" s="6" t="n">
        <v>0</v>
      </c>
      <c r="K49" s="7" t="n">
        <f aca="false">IF(E49+F49=0,"",E49/(E49+F49))</f>
        <v>0.990338164251208</v>
      </c>
      <c r="L49" s="13" t="str">
        <f aca="false">IF(E49+I49&gt;0,"Yes","No")</f>
        <v>Yes</v>
      </c>
      <c r="M49" s="14" t="s">
        <v>204</v>
      </c>
    </row>
    <row r="50" customFormat="false" ht="15" hidden="false" customHeight="false" outlineLevel="0" collapsed="false">
      <c r="A50" s="9" t="n">
        <v>49</v>
      </c>
      <c r="B50" s="9" t="s">
        <v>111</v>
      </c>
      <c r="C50" s="10" t="n">
        <v>296</v>
      </c>
      <c r="D50" s="10" t="n">
        <v>240</v>
      </c>
      <c r="E50" s="10" t="n">
        <v>536</v>
      </c>
      <c r="F50" s="10" t="n">
        <v>2</v>
      </c>
      <c r="G50" s="10" t="n">
        <v>53</v>
      </c>
      <c r="H50" s="10" t="n">
        <v>69</v>
      </c>
      <c r="I50" s="10" t="n">
        <v>122</v>
      </c>
      <c r="J50" s="10" t="n">
        <v>1</v>
      </c>
      <c r="K50" s="11" t="n">
        <f aca="false">IF(E50+F50=0,"",E50/(E50+F50))</f>
        <v>0.996282527881041</v>
      </c>
      <c r="L50" s="9" t="str">
        <f aca="false">IF(E50+I50&gt;0,"Yes","No")</f>
        <v>Yes</v>
      </c>
      <c r="M50" s="12" t="s">
        <v>112</v>
      </c>
    </row>
    <row r="51" customFormat="false" ht="15" hidden="false" customHeight="false" outlineLevel="0" collapsed="false">
      <c r="A51" s="13" t="n">
        <v>50</v>
      </c>
      <c r="B51" s="13" t="s">
        <v>365</v>
      </c>
      <c r="C51" s="6" t="n">
        <v>9</v>
      </c>
      <c r="D51" s="6" t="n">
        <v>57</v>
      </c>
      <c r="E51" s="6" t="n">
        <v>66</v>
      </c>
      <c r="F51" s="6" t="n">
        <v>0</v>
      </c>
      <c r="G51" s="6" t="n">
        <v>2</v>
      </c>
      <c r="H51" s="6" t="n">
        <v>7</v>
      </c>
      <c r="I51" s="6" t="n">
        <v>9</v>
      </c>
      <c r="J51" s="6" t="n">
        <v>0</v>
      </c>
      <c r="K51" s="7" t="n">
        <f aca="false">IF(E51+F51=0,"",E51/(E51+F51))</f>
        <v>1</v>
      </c>
      <c r="L51" s="13" t="str">
        <f aca="false">IF(E51+I51&gt;0,"Yes","No")</f>
        <v>Yes</v>
      </c>
      <c r="M51" s="14" t="s">
        <v>366</v>
      </c>
    </row>
    <row r="52" customFormat="false" ht="15" hidden="false" customHeight="false" outlineLevel="0" collapsed="false">
      <c r="A52" s="9" t="n">
        <v>51</v>
      </c>
      <c r="B52" s="9" t="s">
        <v>151</v>
      </c>
      <c r="C52" s="10" t="n">
        <v>55</v>
      </c>
      <c r="D52" s="10" t="n">
        <v>271</v>
      </c>
      <c r="E52" s="10" t="n">
        <v>326</v>
      </c>
      <c r="F52" s="10" t="n">
        <v>8</v>
      </c>
      <c r="G52" s="10" t="n">
        <v>7</v>
      </c>
      <c r="H52" s="10" t="n">
        <v>54</v>
      </c>
      <c r="I52" s="10" t="n">
        <v>61</v>
      </c>
      <c r="J52" s="10" t="n">
        <v>1</v>
      </c>
      <c r="K52" s="11" t="n">
        <f aca="false">IF(E52+F52=0,"",E52/(E52+F52))</f>
        <v>0.976047904191617</v>
      </c>
      <c r="L52" s="9" t="str">
        <f aca="false">IF(E52+I52&gt;0,"Yes","No")</f>
        <v>Yes</v>
      </c>
      <c r="M52" s="12" t="s">
        <v>152</v>
      </c>
    </row>
    <row r="53" customFormat="false" ht="15" hidden="false" customHeight="false" outlineLevel="0" collapsed="false">
      <c r="A53" s="13" t="n">
        <v>52</v>
      </c>
      <c r="B53" s="13" t="s">
        <v>717</v>
      </c>
      <c r="C53" s="6" t="n">
        <v>4</v>
      </c>
      <c r="D53" s="6" t="n">
        <v>4</v>
      </c>
      <c r="E53" s="6" t="n">
        <v>8</v>
      </c>
      <c r="F53" s="6" t="n">
        <v>0</v>
      </c>
      <c r="G53" s="6" t="n">
        <v>1</v>
      </c>
      <c r="H53" s="6" t="n">
        <v>0</v>
      </c>
      <c r="I53" s="6" t="n">
        <v>1</v>
      </c>
      <c r="J53" s="6" t="n">
        <v>0</v>
      </c>
      <c r="K53" s="7" t="n">
        <f aca="false">IF(E53+F53=0,"",E53/(E53+F53))</f>
        <v>1</v>
      </c>
      <c r="L53" s="13" t="str">
        <f aca="false">IF(E53+I53&gt;0,"Yes","No")</f>
        <v>Yes</v>
      </c>
      <c r="M53" s="14" t="s">
        <v>718</v>
      </c>
    </row>
    <row r="54" customFormat="false" ht="15" hidden="false" customHeight="false" outlineLevel="0" collapsed="false">
      <c r="A54" s="9" t="n">
        <v>53</v>
      </c>
      <c r="B54" s="9" t="s">
        <v>563</v>
      </c>
      <c r="C54" s="10" t="n">
        <v>10</v>
      </c>
      <c r="D54" s="10" t="n">
        <v>10</v>
      </c>
      <c r="E54" s="10" t="n">
        <v>20</v>
      </c>
      <c r="F54" s="10" t="n">
        <v>0</v>
      </c>
      <c r="G54" s="10" t="n">
        <v>2</v>
      </c>
      <c r="H54" s="10" t="n">
        <v>1</v>
      </c>
      <c r="I54" s="10" t="n">
        <v>3</v>
      </c>
      <c r="J54" s="10" t="n">
        <v>0</v>
      </c>
      <c r="K54" s="11" t="n">
        <f aca="false">IF(E54+F54=0,"",E54/(E54+F54))</f>
        <v>1</v>
      </c>
      <c r="L54" s="9" t="str">
        <f aca="false">IF(E54+I54&gt;0,"Yes","No")</f>
        <v>Yes</v>
      </c>
      <c r="M54" s="12" t="s">
        <v>564</v>
      </c>
    </row>
    <row r="55" customFormat="false" ht="15" hidden="false" customHeight="false" outlineLevel="0" collapsed="false">
      <c r="A55" s="13" t="n">
        <v>54</v>
      </c>
      <c r="B55" s="13" t="s">
        <v>775</v>
      </c>
      <c r="C55" s="6" t="n">
        <v>0</v>
      </c>
      <c r="D55" s="6" t="n">
        <v>4</v>
      </c>
      <c r="E55" s="6" t="n">
        <v>4</v>
      </c>
      <c r="F55" s="6" t="n">
        <v>1</v>
      </c>
      <c r="G55" s="6" t="n">
        <v>0</v>
      </c>
      <c r="H55" s="6" t="n">
        <v>2</v>
      </c>
      <c r="I55" s="6" t="n">
        <v>2</v>
      </c>
      <c r="J55" s="6" t="n">
        <v>0</v>
      </c>
      <c r="K55" s="7" t="n">
        <f aca="false">IF(E55+F55=0,"",E55/(E55+F55))</f>
        <v>0.8</v>
      </c>
      <c r="L55" s="13" t="str">
        <f aca="false">IF(E55+I55&gt;0,"Yes","No")</f>
        <v>Yes</v>
      </c>
      <c r="M55" s="14" t="s">
        <v>776</v>
      </c>
    </row>
    <row r="56" customFormat="false" ht="15" hidden="false" customHeight="false" outlineLevel="0" collapsed="false">
      <c r="A56" s="9" t="n">
        <v>55</v>
      </c>
      <c r="B56" s="9" t="s">
        <v>65</v>
      </c>
      <c r="C56" s="10" t="n">
        <v>717</v>
      </c>
      <c r="D56" s="10" t="n">
        <v>388</v>
      </c>
      <c r="E56" s="10" t="n">
        <v>1105</v>
      </c>
      <c r="F56" s="10" t="n">
        <v>10</v>
      </c>
      <c r="G56" s="10" t="n">
        <v>53</v>
      </c>
      <c r="H56" s="10" t="n">
        <v>46</v>
      </c>
      <c r="I56" s="10" t="n">
        <v>99</v>
      </c>
      <c r="J56" s="10" t="n">
        <v>1</v>
      </c>
      <c r="K56" s="11" t="n">
        <f aca="false">IF(E56+F56=0,"",E56/(E56+F56))</f>
        <v>0.991031390134529</v>
      </c>
      <c r="L56" s="9" t="str">
        <f aca="false">IF(E56+I56&gt;0,"Yes","No")</f>
        <v>Yes</v>
      </c>
      <c r="M56" s="12" t="s">
        <v>66</v>
      </c>
    </row>
    <row r="57" customFormat="false" ht="15" hidden="false" customHeight="false" outlineLevel="0" collapsed="false">
      <c r="A57" s="13" t="n">
        <v>56</v>
      </c>
      <c r="B57" s="13" t="s">
        <v>183</v>
      </c>
      <c r="C57" s="6" t="n">
        <v>53</v>
      </c>
      <c r="D57" s="6" t="n">
        <v>195</v>
      </c>
      <c r="E57" s="6" t="n">
        <v>248</v>
      </c>
      <c r="F57" s="6" t="n">
        <v>2</v>
      </c>
      <c r="G57" s="6" t="n">
        <v>4</v>
      </c>
      <c r="H57" s="6" t="n">
        <v>24</v>
      </c>
      <c r="I57" s="6" t="n">
        <v>28</v>
      </c>
      <c r="J57" s="6" t="n">
        <v>0</v>
      </c>
      <c r="K57" s="7" t="n">
        <f aca="false">IF(E57+F57=0,"",E57/(E57+F57))</f>
        <v>0.992</v>
      </c>
      <c r="L57" s="13" t="str">
        <f aca="false">IF(E57+I57&gt;0,"Yes","No")</f>
        <v>Yes</v>
      </c>
      <c r="M57" s="14" t="s">
        <v>184</v>
      </c>
    </row>
    <row r="58" customFormat="false" ht="15" hidden="false" customHeight="false" outlineLevel="0" collapsed="false">
      <c r="A58" s="9" t="n">
        <v>57</v>
      </c>
      <c r="B58" s="9" t="s">
        <v>267</v>
      </c>
      <c r="C58" s="10" t="n">
        <v>69</v>
      </c>
      <c r="D58" s="10" t="n">
        <v>52</v>
      </c>
      <c r="E58" s="10" t="n">
        <v>121</v>
      </c>
      <c r="F58" s="10" t="n">
        <v>0</v>
      </c>
      <c r="G58" s="10" t="n">
        <v>6</v>
      </c>
      <c r="H58" s="10" t="n">
        <v>14</v>
      </c>
      <c r="I58" s="10" t="n">
        <v>20</v>
      </c>
      <c r="J58" s="10" t="n">
        <v>0</v>
      </c>
      <c r="K58" s="11" t="n">
        <f aca="false">IF(E58+F58=0,"",E58/(E58+F58))</f>
        <v>1</v>
      </c>
      <c r="L58" s="9" t="str">
        <f aca="false">IF(E58+I58&gt;0,"Yes","No")</f>
        <v>Yes</v>
      </c>
      <c r="M58" s="12" t="s">
        <v>268</v>
      </c>
    </row>
    <row r="59" customFormat="false" ht="15" hidden="false" customHeight="false" outlineLevel="0" collapsed="false">
      <c r="A59" s="13" t="n">
        <v>58</v>
      </c>
      <c r="B59" s="13" t="s">
        <v>241</v>
      </c>
      <c r="C59" s="6" t="n">
        <v>26</v>
      </c>
      <c r="D59" s="6" t="n">
        <v>120</v>
      </c>
      <c r="E59" s="6" t="n">
        <v>146</v>
      </c>
      <c r="F59" s="6" t="n">
        <v>1</v>
      </c>
      <c r="G59" s="6" t="n">
        <v>2</v>
      </c>
      <c r="H59" s="6" t="n">
        <v>17</v>
      </c>
      <c r="I59" s="6" t="n">
        <v>19</v>
      </c>
      <c r="J59" s="6" t="n">
        <v>3</v>
      </c>
      <c r="K59" s="7" t="n">
        <f aca="false">IF(E59+F59=0,"",E59/(E59+F59))</f>
        <v>0.993197278911565</v>
      </c>
      <c r="L59" s="13" t="str">
        <f aca="false">IF(E59+I59&gt;0,"Yes","No")</f>
        <v>Yes</v>
      </c>
      <c r="M59" s="14" t="s">
        <v>242</v>
      </c>
    </row>
    <row r="60" customFormat="false" ht="15" hidden="false" customHeight="false" outlineLevel="0" collapsed="false">
      <c r="A60" s="9" t="n">
        <v>59</v>
      </c>
      <c r="B60" s="9" t="s">
        <v>283</v>
      </c>
      <c r="C60" s="10" t="n">
        <v>79</v>
      </c>
      <c r="D60" s="10" t="n">
        <v>36</v>
      </c>
      <c r="E60" s="10" t="n">
        <v>115</v>
      </c>
      <c r="F60" s="10" t="n">
        <v>2</v>
      </c>
      <c r="G60" s="10" t="n">
        <v>17</v>
      </c>
      <c r="H60" s="10" t="n">
        <v>16</v>
      </c>
      <c r="I60" s="10" t="n">
        <v>33</v>
      </c>
      <c r="J60" s="10" t="n">
        <v>0</v>
      </c>
      <c r="K60" s="11" t="n">
        <f aca="false">IF(E60+F60=0,"",E60/(E60+F60))</f>
        <v>0.982905982905983</v>
      </c>
      <c r="L60" s="9" t="str">
        <f aca="false">IF(E60+I60&gt;0,"Yes","No")</f>
        <v>Yes</v>
      </c>
      <c r="M60" s="12" t="s">
        <v>284</v>
      </c>
    </row>
    <row r="61" customFormat="false" ht="15" hidden="false" customHeight="false" outlineLevel="0" collapsed="false">
      <c r="A61" s="13" t="n">
        <v>60</v>
      </c>
      <c r="B61" s="13" t="s">
        <v>859</v>
      </c>
      <c r="C61" s="6" t="n">
        <v>0</v>
      </c>
      <c r="D61" s="6" t="n">
        <v>1</v>
      </c>
      <c r="E61" s="6" t="n">
        <v>1</v>
      </c>
      <c r="F61" s="6" t="n">
        <v>0</v>
      </c>
      <c r="G61" s="6" t="n">
        <v>0</v>
      </c>
      <c r="H61" s="6" t="n">
        <v>0</v>
      </c>
      <c r="I61" s="6" t="n">
        <v>0</v>
      </c>
      <c r="J61" s="6" t="n">
        <v>0</v>
      </c>
      <c r="K61" s="7" t="n">
        <f aca="false">IF(E61+F61=0,"",E61/(E61+F61))</f>
        <v>1</v>
      </c>
      <c r="L61" s="13" t="str">
        <f aca="false">IF(E61+I61&gt;0,"Yes","No")</f>
        <v>Yes</v>
      </c>
      <c r="M61" s="14" t="s">
        <v>860</v>
      </c>
    </row>
    <row r="62" customFormat="false" ht="15" hidden="false" customHeight="false" outlineLevel="0" collapsed="false">
      <c r="A62" s="9" t="n">
        <v>61</v>
      </c>
      <c r="B62" s="9" t="s">
        <v>67</v>
      </c>
      <c r="C62" s="10" t="n">
        <v>542</v>
      </c>
      <c r="D62" s="10" t="n">
        <v>559</v>
      </c>
      <c r="E62" s="10" t="n">
        <v>1101</v>
      </c>
      <c r="F62" s="10" t="n">
        <v>2</v>
      </c>
      <c r="G62" s="10" t="n">
        <v>93</v>
      </c>
      <c r="H62" s="10" t="n">
        <v>81</v>
      </c>
      <c r="I62" s="10" t="n">
        <v>174</v>
      </c>
      <c r="J62" s="10" t="n">
        <v>2</v>
      </c>
      <c r="K62" s="11" t="n">
        <f aca="false">IF(E62+F62=0,"",E62/(E62+F62))</f>
        <v>0.99818676337262</v>
      </c>
      <c r="L62" s="9" t="str">
        <f aca="false">IF(E62+I62&gt;0,"Yes","No")</f>
        <v>Yes</v>
      </c>
      <c r="M62" s="12" t="s">
        <v>68</v>
      </c>
    </row>
    <row r="63" customFormat="false" ht="15" hidden="false" customHeight="false" outlineLevel="0" collapsed="false">
      <c r="A63" s="13" t="n">
        <v>62</v>
      </c>
      <c r="B63" s="13" t="s">
        <v>545</v>
      </c>
      <c r="C63" s="6" t="n">
        <v>4</v>
      </c>
      <c r="D63" s="6" t="n">
        <v>19</v>
      </c>
      <c r="E63" s="6" t="n">
        <v>23</v>
      </c>
      <c r="F63" s="6" t="n">
        <v>0</v>
      </c>
      <c r="G63" s="6" t="n">
        <v>0</v>
      </c>
      <c r="H63" s="6" t="n">
        <v>1</v>
      </c>
      <c r="I63" s="6" t="n">
        <v>1</v>
      </c>
      <c r="J63" s="6" t="n">
        <v>0</v>
      </c>
      <c r="K63" s="7" t="n">
        <f aca="false">IF(E63+F63=0,"",E63/(E63+F63))</f>
        <v>1</v>
      </c>
      <c r="L63" s="13" t="str">
        <f aca="false">IF(E63+I63&gt;0,"Yes","No")</f>
        <v>Yes</v>
      </c>
      <c r="M63" s="14" t="s">
        <v>546</v>
      </c>
    </row>
    <row r="64" customFormat="false" ht="15" hidden="false" customHeight="false" outlineLevel="0" collapsed="false">
      <c r="A64" s="9" t="n">
        <v>63</v>
      </c>
      <c r="B64" s="9" t="s">
        <v>159</v>
      </c>
      <c r="C64" s="10" t="n">
        <v>100</v>
      </c>
      <c r="D64" s="10" t="n">
        <v>190</v>
      </c>
      <c r="E64" s="10" t="n">
        <v>290</v>
      </c>
      <c r="F64" s="10" t="n">
        <v>5</v>
      </c>
      <c r="G64" s="10" t="n">
        <v>38</v>
      </c>
      <c r="H64" s="10" t="n">
        <v>37</v>
      </c>
      <c r="I64" s="10" t="n">
        <v>75</v>
      </c>
      <c r="J64" s="10" t="n">
        <v>2</v>
      </c>
      <c r="K64" s="11" t="n">
        <f aca="false">IF(E64+F64=0,"",E64/(E64+F64))</f>
        <v>0.983050847457627</v>
      </c>
      <c r="L64" s="9" t="str">
        <f aca="false">IF(E64+I64&gt;0,"Yes","No")</f>
        <v>Yes</v>
      </c>
      <c r="M64" s="12" t="s">
        <v>160</v>
      </c>
    </row>
    <row r="65" customFormat="false" ht="15" hidden="false" customHeight="false" outlineLevel="0" collapsed="false">
      <c r="A65" s="13" t="n">
        <v>64</v>
      </c>
      <c r="B65" s="13" t="s">
        <v>41</v>
      </c>
      <c r="C65" s="6" t="n">
        <v>1636</v>
      </c>
      <c r="D65" s="6" t="n">
        <v>551</v>
      </c>
      <c r="E65" s="6" t="n">
        <v>2187</v>
      </c>
      <c r="F65" s="6" t="n">
        <v>28</v>
      </c>
      <c r="G65" s="6" t="n">
        <v>229</v>
      </c>
      <c r="H65" s="6" t="n">
        <v>62</v>
      </c>
      <c r="I65" s="6" t="n">
        <v>291</v>
      </c>
      <c r="J65" s="6" t="n">
        <v>9</v>
      </c>
      <c r="K65" s="7" t="n">
        <f aca="false">IF(E65+F65=0,"",E65/(E65+F65))</f>
        <v>0.987358916478555</v>
      </c>
      <c r="L65" s="13" t="str">
        <f aca="false">IF(E65+I65&gt;0,"Yes","No")</f>
        <v>Yes</v>
      </c>
      <c r="M65" s="14" t="s">
        <v>42</v>
      </c>
    </row>
    <row r="66" customFormat="false" ht="15" hidden="false" customHeight="false" outlineLevel="0" collapsed="false">
      <c r="A66" s="9" t="n">
        <v>65</v>
      </c>
      <c r="B66" s="9" t="s">
        <v>177</v>
      </c>
      <c r="C66" s="10" t="n">
        <v>175</v>
      </c>
      <c r="D66" s="10" t="n">
        <v>84</v>
      </c>
      <c r="E66" s="10" t="n">
        <v>259</v>
      </c>
      <c r="F66" s="10" t="n">
        <v>3</v>
      </c>
      <c r="G66" s="10" t="n">
        <v>48</v>
      </c>
      <c r="H66" s="10" t="n">
        <v>13</v>
      </c>
      <c r="I66" s="10" t="n">
        <v>61</v>
      </c>
      <c r="J66" s="10" t="n">
        <v>0</v>
      </c>
      <c r="K66" s="11" t="n">
        <f aca="false">IF(E66+F66=0,"",E66/(E66+F66))</f>
        <v>0.988549618320611</v>
      </c>
      <c r="L66" s="9" t="str">
        <f aca="false">IF(E66+I66&gt;0,"Yes","No")</f>
        <v>Yes</v>
      </c>
      <c r="M66" s="12" t="s">
        <v>178</v>
      </c>
    </row>
    <row r="67" customFormat="false" ht="15" hidden="false" customHeight="false" outlineLevel="0" collapsed="false">
      <c r="A67" s="13" t="n">
        <v>66</v>
      </c>
      <c r="B67" s="13" t="s">
        <v>237</v>
      </c>
      <c r="C67" s="6" t="n">
        <v>91</v>
      </c>
      <c r="D67" s="6" t="n">
        <v>59</v>
      </c>
      <c r="E67" s="6" t="n">
        <v>150</v>
      </c>
      <c r="F67" s="6" t="n">
        <v>6</v>
      </c>
      <c r="G67" s="6" t="n">
        <v>23</v>
      </c>
      <c r="H67" s="6" t="n">
        <v>7</v>
      </c>
      <c r="I67" s="6" t="n">
        <v>30</v>
      </c>
      <c r="J67" s="6" t="n">
        <v>2</v>
      </c>
      <c r="K67" s="7" t="n">
        <f aca="false">IF(E67+F67=0,"",E67/(E67+F67))</f>
        <v>0.961538461538462</v>
      </c>
      <c r="L67" s="13" t="str">
        <f aca="false">IF(E67+I67&gt;0,"Yes","No")</f>
        <v>Yes</v>
      </c>
      <c r="M67" s="14" t="s">
        <v>238</v>
      </c>
    </row>
    <row r="68" customFormat="false" ht="15" hidden="false" customHeight="false" outlineLevel="0" collapsed="false">
      <c r="A68" s="9" t="n">
        <v>67</v>
      </c>
      <c r="B68" s="9" t="s">
        <v>179</v>
      </c>
      <c r="C68" s="10" t="n">
        <v>39</v>
      </c>
      <c r="D68" s="10" t="n">
        <v>214</v>
      </c>
      <c r="E68" s="10" t="n">
        <v>253</v>
      </c>
      <c r="F68" s="10" t="n">
        <v>6</v>
      </c>
      <c r="G68" s="10" t="n">
        <v>2</v>
      </c>
      <c r="H68" s="10" t="n">
        <v>31</v>
      </c>
      <c r="I68" s="10" t="n">
        <v>33</v>
      </c>
      <c r="J68" s="10" t="n">
        <v>4</v>
      </c>
      <c r="K68" s="11" t="n">
        <f aca="false">IF(E68+F68=0,"",E68/(E68+F68))</f>
        <v>0.976833976833977</v>
      </c>
      <c r="L68" s="9" t="str">
        <f aca="false">IF(E68+I68&gt;0,"Yes","No")</f>
        <v>Yes</v>
      </c>
      <c r="M68" s="12" t="s">
        <v>180</v>
      </c>
    </row>
    <row r="69" customFormat="false" ht="15" hidden="false" customHeight="false" outlineLevel="0" collapsed="false">
      <c r="A69" s="13" t="n">
        <v>68</v>
      </c>
      <c r="B69" s="13" t="s">
        <v>229</v>
      </c>
      <c r="C69" s="6" t="n">
        <v>44</v>
      </c>
      <c r="D69" s="6" t="n">
        <v>114</v>
      </c>
      <c r="E69" s="6" t="n">
        <v>158</v>
      </c>
      <c r="F69" s="6" t="n">
        <v>1</v>
      </c>
      <c r="G69" s="6" t="n">
        <v>4</v>
      </c>
      <c r="H69" s="6" t="n">
        <v>25</v>
      </c>
      <c r="I69" s="6" t="n">
        <v>29</v>
      </c>
      <c r="J69" s="6" t="n">
        <v>1</v>
      </c>
      <c r="K69" s="7" t="n">
        <f aca="false">IF(E69+F69=0,"",E69/(E69+F69))</f>
        <v>0.993710691823899</v>
      </c>
      <c r="L69" s="13" t="str">
        <f aca="false">IF(E69+I69&gt;0,"Yes","No")</f>
        <v>Yes</v>
      </c>
      <c r="M69" s="14" t="s">
        <v>230</v>
      </c>
    </row>
    <row r="70" customFormat="false" ht="15" hidden="false" customHeight="false" outlineLevel="0" collapsed="false">
      <c r="A70" s="9" t="n">
        <v>69</v>
      </c>
      <c r="B70" s="9" t="s">
        <v>337</v>
      </c>
      <c r="C70" s="10" t="n">
        <v>26</v>
      </c>
      <c r="D70" s="10" t="n">
        <v>55</v>
      </c>
      <c r="E70" s="10" t="n">
        <v>81</v>
      </c>
      <c r="F70" s="10" t="n">
        <v>0</v>
      </c>
      <c r="G70" s="10" t="n">
        <v>1</v>
      </c>
      <c r="H70" s="10" t="n">
        <v>4</v>
      </c>
      <c r="I70" s="10" t="n">
        <v>5</v>
      </c>
      <c r="J70" s="10" t="n">
        <v>0</v>
      </c>
      <c r="K70" s="11" t="n">
        <f aca="false">IF(E70+F70=0,"",E70/(E70+F70))</f>
        <v>1</v>
      </c>
      <c r="L70" s="9" t="str">
        <f aca="false">IF(E70+I70&gt;0,"Yes","No")</f>
        <v>Yes</v>
      </c>
      <c r="M70" s="12" t="s">
        <v>338</v>
      </c>
    </row>
    <row r="71" customFormat="false" ht="15" hidden="false" customHeight="false" outlineLevel="0" collapsed="false">
      <c r="A71" s="13" t="n">
        <v>70</v>
      </c>
      <c r="B71" s="13" t="s">
        <v>763</v>
      </c>
      <c r="C71" s="6" t="n">
        <v>1</v>
      </c>
      <c r="D71" s="6" t="n">
        <v>4</v>
      </c>
      <c r="E71" s="6" t="n">
        <v>5</v>
      </c>
      <c r="F71" s="6" t="n">
        <v>0</v>
      </c>
      <c r="G71" s="6" t="n">
        <v>0</v>
      </c>
      <c r="H71" s="6" t="n">
        <v>0</v>
      </c>
      <c r="I71" s="6" t="n">
        <v>0</v>
      </c>
      <c r="J71" s="6" t="n">
        <v>0</v>
      </c>
      <c r="K71" s="7" t="n">
        <f aca="false">IF(E71+F71=0,"",E71/(E71+F71))</f>
        <v>1</v>
      </c>
      <c r="L71" s="13" t="str">
        <f aca="false">IF(E71+I71&gt;0,"Yes","No")</f>
        <v>Yes</v>
      </c>
      <c r="M71" s="14" t="s">
        <v>764</v>
      </c>
    </row>
    <row r="72" customFormat="false" ht="15" hidden="false" customHeight="false" outlineLevel="0" collapsed="false">
      <c r="A72" s="9" t="n">
        <v>71</v>
      </c>
      <c r="B72" s="9" t="s">
        <v>617</v>
      </c>
      <c r="C72" s="10" t="n">
        <v>5</v>
      </c>
      <c r="D72" s="10" t="n">
        <v>10</v>
      </c>
      <c r="E72" s="10" t="n">
        <v>15</v>
      </c>
      <c r="F72" s="10" t="n">
        <v>0</v>
      </c>
      <c r="G72" s="10" t="n">
        <v>2</v>
      </c>
      <c r="H72" s="10" t="n">
        <v>1</v>
      </c>
      <c r="I72" s="10" t="n">
        <v>3</v>
      </c>
      <c r="J72" s="10" t="n">
        <v>0</v>
      </c>
      <c r="K72" s="11" t="n">
        <f aca="false">IF(E72+F72=0,"",E72/(E72+F72))</f>
        <v>1</v>
      </c>
      <c r="L72" s="9" t="str">
        <f aca="false">IF(E72+I72&gt;0,"Yes","No")</f>
        <v>Yes</v>
      </c>
      <c r="M72" s="12" t="s">
        <v>618</v>
      </c>
    </row>
    <row r="73" customFormat="false" ht="15" hidden="false" customHeight="false" outlineLevel="0" collapsed="false">
      <c r="A73" s="13" t="n">
        <v>72</v>
      </c>
      <c r="B73" s="13" t="s">
        <v>647</v>
      </c>
      <c r="C73" s="6" t="n">
        <v>11</v>
      </c>
      <c r="D73" s="6" t="n">
        <v>2</v>
      </c>
      <c r="E73" s="6" t="n">
        <v>13</v>
      </c>
      <c r="F73" s="6" t="n">
        <v>0</v>
      </c>
      <c r="G73" s="6" t="n">
        <v>0</v>
      </c>
      <c r="H73" s="6" t="n">
        <v>0</v>
      </c>
      <c r="I73" s="6" t="n">
        <v>0</v>
      </c>
      <c r="J73" s="6" t="n">
        <v>0</v>
      </c>
      <c r="K73" s="7" t="n">
        <f aca="false">IF(E73+F73=0,"",E73/(E73+F73))</f>
        <v>1</v>
      </c>
      <c r="L73" s="13" t="str">
        <f aca="false">IF(E73+I73&gt;0,"Yes","No")</f>
        <v>Yes</v>
      </c>
      <c r="M73" s="14" t="s">
        <v>648</v>
      </c>
    </row>
    <row r="74" customFormat="false" ht="15" hidden="false" customHeight="false" outlineLevel="0" collapsed="false">
      <c r="A74" s="9" t="n">
        <v>73</v>
      </c>
      <c r="B74" s="9" t="s">
        <v>149</v>
      </c>
      <c r="C74" s="10" t="n">
        <v>248</v>
      </c>
      <c r="D74" s="10" t="n">
        <v>94</v>
      </c>
      <c r="E74" s="10" t="n">
        <v>342</v>
      </c>
      <c r="F74" s="10" t="n">
        <v>4</v>
      </c>
      <c r="G74" s="10" t="n">
        <v>28</v>
      </c>
      <c r="H74" s="10" t="n">
        <v>18</v>
      </c>
      <c r="I74" s="10" t="n">
        <v>46</v>
      </c>
      <c r="J74" s="10" t="n">
        <v>1</v>
      </c>
      <c r="K74" s="11" t="n">
        <f aca="false">IF(E74+F74=0,"",E74/(E74+F74))</f>
        <v>0.988439306358382</v>
      </c>
      <c r="L74" s="9" t="str">
        <f aca="false">IF(E74+I74&gt;0,"Yes","No")</f>
        <v>Yes</v>
      </c>
      <c r="M74" s="12" t="s">
        <v>150</v>
      </c>
    </row>
    <row r="75" customFormat="false" ht="15" hidden="false" customHeight="false" outlineLevel="0" collapsed="false">
      <c r="A75" s="13" t="n">
        <v>74</v>
      </c>
      <c r="B75" s="13" t="s">
        <v>311</v>
      </c>
      <c r="C75" s="6" t="n">
        <v>43</v>
      </c>
      <c r="D75" s="6" t="n">
        <v>53</v>
      </c>
      <c r="E75" s="6" t="n">
        <v>96</v>
      </c>
      <c r="F75" s="6" t="n">
        <v>0</v>
      </c>
      <c r="G75" s="6" t="n">
        <v>13</v>
      </c>
      <c r="H75" s="6" t="n">
        <v>10</v>
      </c>
      <c r="I75" s="6" t="n">
        <v>23</v>
      </c>
      <c r="J75" s="6" t="n">
        <v>0</v>
      </c>
      <c r="K75" s="7" t="n">
        <f aca="false">IF(E75+F75=0,"",E75/(E75+F75))</f>
        <v>1</v>
      </c>
      <c r="L75" s="13" t="str">
        <f aca="false">IF(E75+I75&gt;0,"Yes","No")</f>
        <v>Yes</v>
      </c>
      <c r="M75" s="14" t="s">
        <v>312</v>
      </c>
    </row>
    <row r="76" customFormat="false" ht="15" hidden="false" customHeight="false" outlineLevel="0" collapsed="false">
      <c r="A76" s="9" t="n">
        <v>75</v>
      </c>
      <c r="B76" s="9" t="s">
        <v>537</v>
      </c>
      <c r="C76" s="10" t="n">
        <v>8</v>
      </c>
      <c r="D76" s="10" t="n">
        <v>15</v>
      </c>
      <c r="E76" s="10" t="n">
        <v>23</v>
      </c>
      <c r="F76" s="10" t="n">
        <v>0</v>
      </c>
      <c r="G76" s="10" t="n">
        <v>4</v>
      </c>
      <c r="H76" s="10" t="n">
        <v>6</v>
      </c>
      <c r="I76" s="10" t="n">
        <v>10</v>
      </c>
      <c r="J76" s="10" t="n">
        <v>1</v>
      </c>
      <c r="K76" s="11" t="n">
        <f aca="false">IF(E76+F76=0,"",E76/(E76+F76))</f>
        <v>1</v>
      </c>
      <c r="L76" s="9" t="str">
        <f aca="false">IF(E76+I76&gt;0,"Yes","No")</f>
        <v>Yes</v>
      </c>
      <c r="M76" s="12" t="s">
        <v>538</v>
      </c>
    </row>
    <row r="77" customFormat="false" ht="15" hidden="false" customHeight="false" outlineLevel="0" collapsed="false">
      <c r="A77" s="13" t="n">
        <v>76</v>
      </c>
      <c r="B77" s="13" t="s">
        <v>785</v>
      </c>
      <c r="C77" s="6" t="n">
        <v>3</v>
      </c>
      <c r="D77" s="6" t="n">
        <v>1</v>
      </c>
      <c r="E77" s="6" t="n">
        <v>4</v>
      </c>
      <c r="F77" s="6" t="n">
        <v>0</v>
      </c>
      <c r="G77" s="6" t="n">
        <v>0</v>
      </c>
      <c r="H77" s="6" t="n">
        <v>0</v>
      </c>
      <c r="I77" s="6" t="n">
        <v>0</v>
      </c>
      <c r="J77" s="6" t="n">
        <v>0</v>
      </c>
      <c r="K77" s="7" t="n">
        <f aca="false">IF(E77+F77=0,"",E77/(E77+F77))</f>
        <v>1</v>
      </c>
      <c r="L77" s="13" t="str">
        <f aca="false">IF(E77+I77&gt;0,"Yes","No")</f>
        <v>Yes</v>
      </c>
      <c r="M77" s="14" t="s">
        <v>786</v>
      </c>
    </row>
    <row r="78" customFormat="false" ht="15" hidden="false" customHeight="false" outlineLevel="0" collapsed="false">
      <c r="A78" s="9" t="n">
        <v>77</v>
      </c>
      <c r="B78" s="9" t="s">
        <v>715</v>
      </c>
      <c r="C78" s="10" t="n">
        <v>4</v>
      </c>
      <c r="D78" s="10" t="n">
        <v>4</v>
      </c>
      <c r="E78" s="10" t="n">
        <v>8</v>
      </c>
      <c r="F78" s="10" t="n">
        <v>0</v>
      </c>
      <c r="G78" s="10" t="n">
        <v>2</v>
      </c>
      <c r="H78" s="10" t="n">
        <v>0</v>
      </c>
      <c r="I78" s="10" t="n">
        <v>2</v>
      </c>
      <c r="J78" s="10" t="n">
        <v>0</v>
      </c>
      <c r="K78" s="11" t="n">
        <f aca="false">IF(E78+F78=0,"",E78/(E78+F78))</f>
        <v>1</v>
      </c>
      <c r="L78" s="9" t="str">
        <f aca="false">IF(E78+I78&gt;0,"Yes","No")</f>
        <v>Yes</v>
      </c>
      <c r="M78" s="12" t="s">
        <v>716</v>
      </c>
    </row>
    <row r="79" customFormat="false" ht="15" hidden="false" customHeight="false" outlineLevel="0" collapsed="false">
      <c r="A79" s="13" t="n">
        <v>78</v>
      </c>
      <c r="B79" s="13" t="s">
        <v>63</v>
      </c>
      <c r="C79" s="6" t="n">
        <v>1262</v>
      </c>
      <c r="D79" s="6" t="n">
        <v>67</v>
      </c>
      <c r="E79" s="6" t="n">
        <v>1329</v>
      </c>
      <c r="F79" s="6" t="n">
        <v>14</v>
      </c>
      <c r="G79" s="6" t="n">
        <v>287</v>
      </c>
      <c r="H79" s="6" t="n">
        <v>164</v>
      </c>
      <c r="I79" s="6" t="n">
        <v>451</v>
      </c>
      <c r="J79" s="6" t="n">
        <v>7</v>
      </c>
      <c r="K79" s="7" t="n">
        <f aca="false">IF(E79+F79=0,"",E79/(E79+F79))</f>
        <v>0.98957557706627</v>
      </c>
      <c r="L79" s="13" t="str">
        <f aca="false">IF(E79+I79&gt;0,"Yes","No")</f>
        <v>Yes</v>
      </c>
      <c r="M79" s="14" t="s">
        <v>64</v>
      </c>
    </row>
    <row r="80" customFormat="false" ht="15" hidden="false" customHeight="false" outlineLevel="0" collapsed="false">
      <c r="A80" s="9" t="n">
        <v>79</v>
      </c>
      <c r="B80" s="9" t="s">
        <v>115</v>
      </c>
      <c r="C80" s="10" t="n">
        <v>447</v>
      </c>
      <c r="D80" s="10" t="n">
        <v>74</v>
      </c>
      <c r="E80" s="10" t="n">
        <v>521</v>
      </c>
      <c r="F80" s="10" t="n">
        <v>23</v>
      </c>
      <c r="G80" s="10" t="n">
        <v>127</v>
      </c>
      <c r="H80" s="10" t="n">
        <v>192</v>
      </c>
      <c r="I80" s="10" t="n">
        <v>319</v>
      </c>
      <c r="J80" s="10" t="n">
        <v>7</v>
      </c>
      <c r="K80" s="11" t="n">
        <f aca="false">IF(E80+F80=0,"",E80/(E80+F80))</f>
        <v>0.957720588235294</v>
      </c>
      <c r="L80" s="9" t="str">
        <f aca="false">IF(E80+I80&gt;0,"Yes","No")</f>
        <v>Yes</v>
      </c>
      <c r="M80" s="12" t="s">
        <v>116</v>
      </c>
    </row>
    <row r="81" customFormat="false" ht="15" hidden="false" customHeight="false" outlineLevel="0" collapsed="false">
      <c r="A81" s="13" t="n">
        <v>80</v>
      </c>
      <c r="B81" s="13" t="s">
        <v>271</v>
      </c>
      <c r="C81" s="6" t="n">
        <v>46</v>
      </c>
      <c r="D81" s="6" t="n">
        <v>72</v>
      </c>
      <c r="E81" s="6" t="n">
        <v>118</v>
      </c>
      <c r="F81" s="6" t="n">
        <v>0</v>
      </c>
      <c r="G81" s="6" t="n">
        <v>22</v>
      </c>
      <c r="H81" s="6" t="n">
        <v>16</v>
      </c>
      <c r="I81" s="6" t="n">
        <v>38</v>
      </c>
      <c r="J81" s="6" t="n">
        <v>2</v>
      </c>
      <c r="K81" s="7" t="n">
        <f aca="false">IF(E81+F81=0,"",E81/(E81+F81))</f>
        <v>1</v>
      </c>
      <c r="L81" s="13" t="str">
        <f aca="false">IF(E81+I81&gt;0,"Yes","No")</f>
        <v>Yes</v>
      </c>
      <c r="M81" s="14" t="s">
        <v>272</v>
      </c>
    </row>
    <row r="82" customFormat="false" ht="15" hidden="false" customHeight="false" outlineLevel="0" collapsed="false">
      <c r="A82" s="9" t="n">
        <v>81</v>
      </c>
      <c r="B82" s="9" t="s">
        <v>135</v>
      </c>
      <c r="C82" s="10" t="n">
        <v>46</v>
      </c>
      <c r="D82" s="10" t="n">
        <v>362</v>
      </c>
      <c r="E82" s="10" t="n">
        <v>408</v>
      </c>
      <c r="F82" s="10" t="n">
        <v>4</v>
      </c>
      <c r="G82" s="10" t="n">
        <v>12</v>
      </c>
      <c r="H82" s="10" t="n">
        <v>156</v>
      </c>
      <c r="I82" s="10" t="n">
        <v>168</v>
      </c>
      <c r="J82" s="10" t="n">
        <v>21</v>
      </c>
      <c r="K82" s="11" t="n">
        <f aca="false">IF(E82+F82=0,"",E82/(E82+F82))</f>
        <v>0.990291262135922</v>
      </c>
      <c r="L82" s="9" t="str">
        <f aca="false">IF(E82+I82&gt;0,"Yes","No")</f>
        <v>Yes</v>
      </c>
      <c r="M82" s="12" t="s">
        <v>136</v>
      </c>
    </row>
    <row r="83" customFormat="false" ht="15" hidden="false" customHeight="false" outlineLevel="0" collapsed="false">
      <c r="A83" s="13" t="n">
        <v>82</v>
      </c>
      <c r="B83" s="13" t="s">
        <v>167</v>
      </c>
      <c r="C83" s="6" t="n">
        <v>153</v>
      </c>
      <c r="D83" s="6" t="n">
        <v>121</v>
      </c>
      <c r="E83" s="6" t="n">
        <v>274</v>
      </c>
      <c r="F83" s="6" t="n">
        <v>2</v>
      </c>
      <c r="G83" s="6" t="n">
        <v>45</v>
      </c>
      <c r="H83" s="6" t="n">
        <v>36</v>
      </c>
      <c r="I83" s="6" t="n">
        <v>81</v>
      </c>
      <c r="J83" s="6" t="n">
        <v>0</v>
      </c>
      <c r="K83" s="7" t="n">
        <f aca="false">IF(E83+F83=0,"",E83/(E83+F83))</f>
        <v>0.992753623188406</v>
      </c>
      <c r="L83" s="13" t="str">
        <f aca="false">IF(E83+I83&gt;0,"Yes","No")</f>
        <v>Yes</v>
      </c>
      <c r="M83" s="14" t="s">
        <v>168</v>
      </c>
    </row>
    <row r="84" customFormat="false" ht="15" hidden="false" customHeight="false" outlineLevel="0" collapsed="false">
      <c r="A84" s="9" t="n">
        <v>83</v>
      </c>
      <c r="B84" s="9" t="s">
        <v>483</v>
      </c>
      <c r="C84" s="10" t="n">
        <v>16</v>
      </c>
      <c r="D84" s="10" t="n">
        <v>16</v>
      </c>
      <c r="E84" s="10" t="n">
        <v>32</v>
      </c>
      <c r="F84" s="10" t="n">
        <v>0</v>
      </c>
      <c r="G84" s="10" t="n">
        <v>5</v>
      </c>
      <c r="H84" s="10" t="n">
        <v>1</v>
      </c>
      <c r="I84" s="10" t="n">
        <v>6</v>
      </c>
      <c r="J84" s="10" t="n">
        <v>0</v>
      </c>
      <c r="K84" s="11" t="n">
        <f aca="false">IF(E84+F84=0,"",E84/(E84+F84))</f>
        <v>1</v>
      </c>
      <c r="L84" s="9" t="str">
        <f aca="false">IF(E84+I84&gt;0,"Yes","No")</f>
        <v>Yes</v>
      </c>
      <c r="M84" s="12" t="s">
        <v>484</v>
      </c>
    </row>
    <row r="85" customFormat="false" ht="15" hidden="false" customHeight="false" outlineLevel="0" collapsed="false">
      <c r="A85" s="13" t="n">
        <v>84</v>
      </c>
      <c r="B85" s="13" t="s">
        <v>43</v>
      </c>
      <c r="C85" s="6" t="n">
        <v>953</v>
      </c>
      <c r="D85" s="6" t="n">
        <v>1112</v>
      </c>
      <c r="E85" s="6" t="n">
        <v>2065</v>
      </c>
      <c r="F85" s="6" t="n">
        <v>73</v>
      </c>
      <c r="G85" s="6" t="n">
        <v>78</v>
      </c>
      <c r="H85" s="6" t="n">
        <v>76</v>
      </c>
      <c r="I85" s="6" t="n">
        <v>154</v>
      </c>
      <c r="J85" s="6" t="n">
        <v>11</v>
      </c>
      <c r="K85" s="7" t="n">
        <f aca="false">IF(E85+F85=0,"",E85/(E85+F85))</f>
        <v>0.965855940130964</v>
      </c>
      <c r="L85" s="13" t="str">
        <f aca="false">IF(E85+I85&gt;0,"Yes","No")</f>
        <v>Yes</v>
      </c>
      <c r="M85" s="14" t="s">
        <v>44</v>
      </c>
    </row>
    <row r="86" customFormat="false" ht="15" hidden="false" customHeight="false" outlineLevel="0" collapsed="false">
      <c r="A86" s="9" t="n">
        <v>85</v>
      </c>
      <c r="B86" s="9" t="s">
        <v>893</v>
      </c>
      <c r="C86" s="10" t="n">
        <v>0</v>
      </c>
      <c r="D86" s="10" t="n">
        <v>0</v>
      </c>
      <c r="E86" s="10" t="n">
        <v>0</v>
      </c>
      <c r="F86" s="10" t="n">
        <v>0</v>
      </c>
      <c r="G86" s="10" t="n">
        <v>0</v>
      </c>
      <c r="H86" s="10" t="n">
        <v>0</v>
      </c>
      <c r="I86" s="10" t="n">
        <v>0</v>
      </c>
      <c r="J86" s="10" t="n">
        <v>0</v>
      </c>
      <c r="K86" s="11" t="str">
        <f aca="false">IF(E86+F86=0,"",E86/(E86+F86))</f>
        <v/>
      </c>
      <c r="L86" s="9" t="str">
        <f aca="false">IF(E86+I86&gt;0,"Yes","No")</f>
        <v>No</v>
      </c>
      <c r="M86" s="12"/>
    </row>
    <row r="87" customFormat="false" ht="15" hidden="false" customHeight="false" outlineLevel="0" collapsed="false">
      <c r="A87" s="13" t="n">
        <v>86</v>
      </c>
      <c r="B87" s="13" t="s">
        <v>353</v>
      </c>
      <c r="C87" s="6" t="n">
        <v>44</v>
      </c>
      <c r="D87" s="6" t="n">
        <v>25</v>
      </c>
      <c r="E87" s="6" t="n">
        <v>69</v>
      </c>
      <c r="F87" s="6" t="n">
        <v>1</v>
      </c>
      <c r="G87" s="6" t="n">
        <v>5</v>
      </c>
      <c r="H87" s="6" t="n">
        <v>6</v>
      </c>
      <c r="I87" s="6" t="n">
        <v>11</v>
      </c>
      <c r="J87" s="6" t="n">
        <v>0</v>
      </c>
      <c r="K87" s="7" t="n">
        <f aca="false">IF(E87+F87=0,"",E87/(E87+F87))</f>
        <v>0.985714285714286</v>
      </c>
      <c r="L87" s="13" t="str">
        <f aca="false">IF(E87+I87&gt;0,"Yes","No")</f>
        <v>Yes</v>
      </c>
      <c r="M87" s="14" t="s">
        <v>354</v>
      </c>
    </row>
    <row r="88" customFormat="false" ht="15" hidden="false" customHeight="false" outlineLevel="0" collapsed="false">
      <c r="A88" s="9" t="n">
        <v>87</v>
      </c>
      <c r="B88" s="9" t="s">
        <v>559</v>
      </c>
      <c r="C88" s="10" t="n">
        <v>14</v>
      </c>
      <c r="D88" s="10" t="n">
        <v>7</v>
      </c>
      <c r="E88" s="10" t="n">
        <v>21</v>
      </c>
      <c r="F88" s="10" t="n">
        <v>0</v>
      </c>
      <c r="G88" s="10" t="n">
        <v>5</v>
      </c>
      <c r="H88" s="10" t="n">
        <v>1</v>
      </c>
      <c r="I88" s="10" t="n">
        <v>6</v>
      </c>
      <c r="J88" s="10" t="n">
        <v>0</v>
      </c>
      <c r="K88" s="11" t="n">
        <f aca="false">IF(E88+F88=0,"",E88/(E88+F88))</f>
        <v>1</v>
      </c>
      <c r="L88" s="9" t="str">
        <f aca="false">IF(E88+I88&gt;0,"Yes","No")</f>
        <v>Yes</v>
      </c>
      <c r="M88" s="12" t="s">
        <v>560</v>
      </c>
    </row>
    <row r="89" customFormat="false" ht="15" hidden="false" customHeight="false" outlineLevel="0" collapsed="false">
      <c r="A89" s="13" t="n">
        <v>88</v>
      </c>
      <c r="B89" s="13" t="s">
        <v>81</v>
      </c>
      <c r="C89" s="6" t="n">
        <v>474</v>
      </c>
      <c r="D89" s="6" t="n">
        <v>393</v>
      </c>
      <c r="E89" s="6" t="n">
        <v>867</v>
      </c>
      <c r="F89" s="6" t="n">
        <v>6</v>
      </c>
      <c r="G89" s="6" t="n">
        <v>92</v>
      </c>
      <c r="H89" s="6" t="n">
        <v>36</v>
      </c>
      <c r="I89" s="6" t="n">
        <v>128</v>
      </c>
      <c r="J89" s="6" t="n">
        <v>1</v>
      </c>
      <c r="K89" s="7" t="n">
        <f aca="false">IF(E89+F89=0,"",E89/(E89+F89))</f>
        <v>0.993127147766323</v>
      </c>
      <c r="L89" s="13" t="str">
        <f aca="false">IF(E89+I89&gt;0,"Yes","No")</f>
        <v>Yes</v>
      </c>
      <c r="M89" s="14" t="s">
        <v>82</v>
      </c>
    </row>
    <row r="90" customFormat="false" ht="15" hidden="false" customHeight="false" outlineLevel="0" collapsed="false">
      <c r="A90" s="9" t="n">
        <v>89</v>
      </c>
      <c r="B90" s="9" t="s">
        <v>369</v>
      </c>
      <c r="C90" s="10" t="n">
        <v>47</v>
      </c>
      <c r="D90" s="10" t="n">
        <v>18</v>
      </c>
      <c r="E90" s="10" t="n">
        <v>65</v>
      </c>
      <c r="F90" s="10" t="n">
        <v>0</v>
      </c>
      <c r="G90" s="10" t="n">
        <v>3</v>
      </c>
      <c r="H90" s="10" t="n">
        <v>8</v>
      </c>
      <c r="I90" s="10" t="n">
        <v>11</v>
      </c>
      <c r="J90" s="10" t="n">
        <v>0</v>
      </c>
      <c r="K90" s="11" t="n">
        <f aca="false">IF(E90+F90=0,"",E90/(E90+F90))</f>
        <v>1</v>
      </c>
      <c r="L90" s="9" t="str">
        <f aca="false">IF(E90+I90&gt;0,"Yes","No")</f>
        <v>Yes</v>
      </c>
      <c r="M90" s="12" t="s">
        <v>370</v>
      </c>
    </row>
    <row r="91" customFormat="false" ht="15" hidden="false" customHeight="false" outlineLevel="0" collapsed="false">
      <c r="A91" s="13" t="n">
        <v>90</v>
      </c>
      <c r="B91" s="13" t="s">
        <v>185</v>
      </c>
      <c r="C91" s="6" t="n">
        <v>93</v>
      </c>
      <c r="D91" s="6" t="n">
        <v>147</v>
      </c>
      <c r="E91" s="6" t="n">
        <v>240</v>
      </c>
      <c r="F91" s="6" t="n">
        <v>7</v>
      </c>
      <c r="G91" s="6" t="n">
        <v>14</v>
      </c>
      <c r="H91" s="6" t="n">
        <v>19</v>
      </c>
      <c r="I91" s="6" t="n">
        <v>33</v>
      </c>
      <c r="J91" s="6" t="n">
        <v>0</v>
      </c>
      <c r="K91" s="7" t="n">
        <f aca="false">IF(E91+F91=0,"",E91/(E91+F91))</f>
        <v>0.97165991902834</v>
      </c>
      <c r="L91" s="13" t="str">
        <f aca="false">IF(E91+I91&gt;0,"Yes","No")</f>
        <v>Yes</v>
      </c>
      <c r="M91" s="14" t="s">
        <v>186</v>
      </c>
    </row>
    <row r="92" customFormat="false" ht="15" hidden="false" customHeight="false" outlineLevel="0" collapsed="false">
      <c r="A92" s="9" t="n">
        <v>91</v>
      </c>
      <c r="B92" s="9" t="s">
        <v>631</v>
      </c>
      <c r="C92" s="10" t="n">
        <v>12</v>
      </c>
      <c r="D92" s="10" t="n">
        <v>2</v>
      </c>
      <c r="E92" s="10" t="n">
        <v>14</v>
      </c>
      <c r="F92" s="10" t="n">
        <v>0</v>
      </c>
      <c r="G92" s="10" t="n">
        <v>0</v>
      </c>
      <c r="H92" s="10" t="n">
        <v>1</v>
      </c>
      <c r="I92" s="10" t="n">
        <v>1</v>
      </c>
      <c r="J92" s="10" t="n">
        <v>0</v>
      </c>
      <c r="K92" s="11" t="n">
        <f aca="false">IF(E92+F92=0,"",E92/(E92+F92))</f>
        <v>1</v>
      </c>
      <c r="L92" s="9" t="str">
        <f aca="false">IF(E92+I92&gt;0,"Yes","No")</f>
        <v>Yes</v>
      </c>
      <c r="M92" s="12" t="s">
        <v>632</v>
      </c>
    </row>
    <row r="93" customFormat="false" ht="15" hidden="false" customHeight="false" outlineLevel="0" collapsed="false">
      <c r="A93" s="13" t="n">
        <v>92</v>
      </c>
      <c r="B93" s="13" t="s">
        <v>147</v>
      </c>
      <c r="C93" s="6" t="n">
        <v>92</v>
      </c>
      <c r="D93" s="6" t="n">
        <v>265</v>
      </c>
      <c r="E93" s="6" t="n">
        <v>357</v>
      </c>
      <c r="F93" s="6" t="n">
        <v>3</v>
      </c>
      <c r="G93" s="6" t="n">
        <v>7</v>
      </c>
      <c r="H93" s="6" t="n">
        <v>26</v>
      </c>
      <c r="I93" s="6" t="n">
        <v>33</v>
      </c>
      <c r="J93" s="6" t="n">
        <v>0</v>
      </c>
      <c r="K93" s="7" t="n">
        <f aca="false">IF(E93+F93=0,"",E93/(E93+F93))</f>
        <v>0.991666666666667</v>
      </c>
      <c r="L93" s="13" t="str">
        <f aca="false">IF(E93+I93&gt;0,"Yes","No")</f>
        <v>Yes</v>
      </c>
      <c r="M93" s="14" t="s">
        <v>148</v>
      </c>
    </row>
    <row r="94" customFormat="false" ht="15" hidden="false" customHeight="false" outlineLevel="0" collapsed="false">
      <c r="A94" s="9" t="n">
        <v>93</v>
      </c>
      <c r="B94" s="9" t="s">
        <v>561</v>
      </c>
      <c r="C94" s="10" t="n">
        <v>11</v>
      </c>
      <c r="D94" s="10" t="n">
        <v>10</v>
      </c>
      <c r="E94" s="10" t="n">
        <v>21</v>
      </c>
      <c r="F94" s="10" t="n">
        <v>0</v>
      </c>
      <c r="G94" s="10" t="n">
        <v>0</v>
      </c>
      <c r="H94" s="10" t="n">
        <v>1</v>
      </c>
      <c r="I94" s="10" t="n">
        <v>1</v>
      </c>
      <c r="J94" s="10" t="n">
        <v>0</v>
      </c>
      <c r="K94" s="11" t="n">
        <f aca="false">IF(E94+F94=0,"",E94/(E94+F94))</f>
        <v>1</v>
      </c>
      <c r="L94" s="9" t="str">
        <f aca="false">IF(E94+I94&gt;0,"Yes","No")</f>
        <v>Yes</v>
      </c>
      <c r="M94" s="12" t="s">
        <v>562</v>
      </c>
    </row>
    <row r="95" customFormat="false" ht="15" hidden="false" customHeight="false" outlineLevel="0" collapsed="false">
      <c r="A95" s="13" t="n">
        <v>94</v>
      </c>
      <c r="B95" s="13" t="s">
        <v>213</v>
      </c>
      <c r="C95" s="6" t="n">
        <v>40</v>
      </c>
      <c r="D95" s="6" t="n">
        <v>150</v>
      </c>
      <c r="E95" s="6" t="n">
        <v>190</v>
      </c>
      <c r="F95" s="6" t="n">
        <v>0</v>
      </c>
      <c r="G95" s="6" t="n">
        <v>1</v>
      </c>
      <c r="H95" s="6" t="n">
        <v>25</v>
      </c>
      <c r="I95" s="6" t="n">
        <v>26</v>
      </c>
      <c r="J95" s="6" t="n">
        <v>0</v>
      </c>
      <c r="K95" s="7" t="n">
        <f aca="false">IF(E95+F95=0,"",E95/(E95+F95))</f>
        <v>1</v>
      </c>
      <c r="L95" s="13" t="str">
        <f aca="false">IF(E95+I95&gt;0,"Yes","No")</f>
        <v>Yes</v>
      </c>
      <c r="M95" s="14" t="s">
        <v>214</v>
      </c>
    </row>
    <row r="96" customFormat="false" ht="15" hidden="false" customHeight="false" outlineLevel="0" collapsed="false">
      <c r="A96" s="9" t="n">
        <v>95</v>
      </c>
      <c r="B96" s="9" t="s">
        <v>861</v>
      </c>
      <c r="C96" s="10" t="n">
        <v>0</v>
      </c>
      <c r="D96" s="10" t="n">
        <v>1</v>
      </c>
      <c r="E96" s="10" t="n">
        <v>1</v>
      </c>
      <c r="F96" s="10" t="n">
        <v>0</v>
      </c>
      <c r="G96" s="10" t="n">
        <v>0</v>
      </c>
      <c r="H96" s="10" t="n">
        <v>0</v>
      </c>
      <c r="I96" s="10" t="n">
        <v>0</v>
      </c>
      <c r="J96" s="10" t="n">
        <v>0</v>
      </c>
      <c r="K96" s="11" t="n">
        <f aca="false">IF(E96+F96=0,"",E96/(E96+F96))</f>
        <v>1</v>
      </c>
      <c r="L96" s="9" t="str">
        <f aca="false">IF(E96+I96&gt;0,"Yes","No")</f>
        <v>Yes</v>
      </c>
      <c r="M96" s="12" t="s">
        <v>862</v>
      </c>
    </row>
    <row r="97" customFormat="false" ht="15" hidden="false" customHeight="false" outlineLevel="0" collapsed="false">
      <c r="A97" s="13" t="n">
        <v>96</v>
      </c>
      <c r="B97" s="13" t="s">
        <v>405</v>
      </c>
      <c r="C97" s="6" t="n">
        <v>28</v>
      </c>
      <c r="D97" s="6" t="n">
        <v>19</v>
      </c>
      <c r="E97" s="6" t="n">
        <v>47</v>
      </c>
      <c r="F97" s="6" t="n">
        <v>0</v>
      </c>
      <c r="G97" s="6" t="n">
        <v>2</v>
      </c>
      <c r="H97" s="6" t="n">
        <v>3</v>
      </c>
      <c r="I97" s="6" t="n">
        <v>5</v>
      </c>
      <c r="J97" s="6" t="n">
        <v>0</v>
      </c>
      <c r="K97" s="7" t="n">
        <f aca="false">IF(E97+F97=0,"",E97/(E97+F97))</f>
        <v>1</v>
      </c>
      <c r="L97" s="13" t="str">
        <f aca="false">IF(E97+I97&gt;0,"Yes","No")</f>
        <v>Yes</v>
      </c>
      <c r="M97" s="14" t="s">
        <v>406</v>
      </c>
    </row>
    <row r="98" customFormat="false" ht="15" hidden="false" customHeight="false" outlineLevel="0" collapsed="false">
      <c r="A98" s="9" t="n">
        <v>97</v>
      </c>
      <c r="B98" s="9" t="s">
        <v>171</v>
      </c>
      <c r="C98" s="10" t="n">
        <v>190</v>
      </c>
      <c r="D98" s="10" t="n">
        <v>83</v>
      </c>
      <c r="E98" s="10" t="n">
        <v>273</v>
      </c>
      <c r="F98" s="10" t="n">
        <v>5</v>
      </c>
      <c r="G98" s="10" t="n">
        <v>48</v>
      </c>
      <c r="H98" s="10" t="n">
        <v>14</v>
      </c>
      <c r="I98" s="10" t="n">
        <v>62</v>
      </c>
      <c r="J98" s="10" t="n">
        <v>1</v>
      </c>
      <c r="K98" s="11" t="n">
        <f aca="false">IF(E98+F98=0,"",E98/(E98+F98))</f>
        <v>0.982014388489209</v>
      </c>
      <c r="L98" s="9" t="str">
        <f aca="false">IF(E98+I98&gt;0,"Yes","No")</f>
        <v>Yes</v>
      </c>
      <c r="M98" s="12" t="s">
        <v>172</v>
      </c>
    </row>
    <row r="99" customFormat="false" ht="15" hidden="false" customHeight="false" outlineLevel="0" collapsed="false">
      <c r="A99" s="13" t="n">
        <v>98</v>
      </c>
      <c r="B99" s="13" t="s">
        <v>191</v>
      </c>
      <c r="C99" s="6" t="n">
        <v>74</v>
      </c>
      <c r="D99" s="6" t="n">
        <v>146</v>
      </c>
      <c r="E99" s="6" t="n">
        <v>220</v>
      </c>
      <c r="F99" s="6" t="n">
        <v>2</v>
      </c>
      <c r="G99" s="6" t="n">
        <v>24</v>
      </c>
      <c r="H99" s="6" t="n">
        <v>28</v>
      </c>
      <c r="I99" s="6" t="n">
        <v>52</v>
      </c>
      <c r="J99" s="6" t="n">
        <v>1</v>
      </c>
      <c r="K99" s="7" t="n">
        <f aca="false">IF(E99+F99=0,"",E99/(E99+F99))</f>
        <v>0.990990990990991</v>
      </c>
      <c r="L99" s="13" t="str">
        <f aca="false">IF(E99+I99&gt;0,"Yes","No")</f>
        <v>Yes</v>
      </c>
      <c r="M99" s="14" t="s">
        <v>192</v>
      </c>
    </row>
    <row r="100" customFormat="false" ht="15" hidden="false" customHeight="false" outlineLevel="0" collapsed="false">
      <c r="A100" s="9" t="n">
        <v>99</v>
      </c>
      <c r="B100" s="9" t="s">
        <v>175</v>
      </c>
      <c r="C100" s="10" t="n">
        <v>171</v>
      </c>
      <c r="D100" s="10" t="n">
        <v>96</v>
      </c>
      <c r="E100" s="10" t="n">
        <v>267</v>
      </c>
      <c r="F100" s="10" t="n">
        <v>4</v>
      </c>
      <c r="G100" s="10" t="n">
        <v>36</v>
      </c>
      <c r="H100" s="10" t="n">
        <v>13</v>
      </c>
      <c r="I100" s="10" t="n">
        <v>49</v>
      </c>
      <c r="J100" s="10" t="n">
        <v>0</v>
      </c>
      <c r="K100" s="11" t="n">
        <f aca="false">IF(E100+F100=0,"",E100/(E100+F100))</f>
        <v>0.985239852398524</v>
      </c>
      <c r="L100" s="9" t="str">
        <f aca="false">IF(E100+I100&gt;0,"Yes","No")</f>
        <v>Yes</v>
      </c>
      <c r="M100" s="12" t="s">
        <v>176</v>
      </c>
    </row>
    <row r="101" customFormat="false" ht="15" hidden="false" customHeight="false" outlineLevel="0" collapsed="false">
      <c r="A101" s="13" t="n">
        <v>100</v>
      </c>
      <c r="B101" s="13" t="s">
        <v>61</v>
      </c>
      <c r="C101" s="6" t="n">
        <v>546</v>
      </c>
      <c r="D101" s="6" t="n">
        <v>797</v>
      </c>
      <c r="E101" s="6" t="n">
        <v>1343</v>
      </c>
      <c r="F101" s="6" t="n">
        <v>39</v>
      </c>
      <c r="G101" s="6" t="n">
        <v>143</v>
      </c>
      <c r="H101" s="6" t="n">
        <v>110</v>
      </c>
      <c r="I101" s="6" t="n">
        <v>253</v>
      </c>
      <c r="J101" s="6" t="n">
        <v>8</v>
      </c>
      <c r="K101" s="7" t="n">
        <f aca="false">IF(E101+F101=0,"",E101/(E101+F101))</f>
        <v>0.97178002894356</v>
      </c>
      <c r="L101" s="13" t="str">
        <f aca="false">IF(E101+I101&gt;0,"Yes","No")</f>
        <v>Yes</v>
      </c>
      <c r="M101" s="14" t="s">
        <v>62</v>
      </c>
    </row>
    <row r="102" customFormat="false" ht="15" hidden="false" customHeight="false" outlineLevel="0" collapsed="false">
      <c r="A102" s="9" t="n">
        <v>101</v>
      </c>
      <c r="B102" s="9" t="s">
        <v>85</v>
      </c>
      <c r="C102" s="10" t="n">
        <v>385</v>
      </c>
      <c r="D102" s="10" t="n">
        <v>418</v>
      </c>
      <c r="E102" s="10" t="n">
        <v>803</v>
      </c>
      <c r="F102" s="10" t="n">
        <v>11</v>
      </c>
      <c r="G102" s="10" t="n">
        <v>64</v>
      </c>
      <c r="H102" s="10" t="n">
        <v>69</v>
      </c>
      <c r="I102" s="10" t="n">
        <v>133</v>
      </c>
      <c r="J102" s="10" t="n">
        <v>1</v>
      </c>
      <c r="K102" s="11" t="n">
        <f aca="false">IF(E102+F102=0,"",E102/(E102+F102))</f>
        <v>0.986486486486487</v>
      </c>
      <c r="L102" s="9" t="str">
        <f aca="false">IF(E102+I102&gt;0,"Yes","No")</f>
        <v>Yes</v>
      </c>
      <c r="M102" s="12" t="s">
        <v>86</v>
      </c>
    </row>
    <row r="103" customFormat="false" ht="15" hidden="false" customHeight="false" outlineLevel="0" collapsed="false">
      <c r="A103" s="13" t="n">
        <v>102</v>
      </c>
      <c r="B103" s="13" t="s">
        <v>497</v>
      </c>
      <c r="C103" s="6" t="n">
        <v>21</v>
      </c>
      <c r="D103" s="6" t="n">
        <v>7</v>
      </c>
      <c r="E103" s="6" t="n">
        <v>28</v>
      </c>
      <c r="F103" s="6" t="n">
        <v>0</v>
      </c>
      <c r="G103" s="6" t="n">
        <v>4</v>
      </c>
      <c r="H103" s="6" t="n">
        <v>2</v>
      </c>
      <c r="I103" s="6" t="n">
        <v>6</v>
      </c>
      <c r="J103" s="6" t="n">
        <v>0</v>
      </c>
      <c r="K103" s="7" t="n">
        <f aca="false">IF(E103+F103=0,"",E103/(E103+F103))</f>
        <v>1</v>
      </c>
      <c r="L103" s="13" t="str">
        <f aca="false">IF(E103+I103&gt;0,"Yes","No")</f>
        <v>Yes</v>
      </c>
      <c r="M103" s="14" t="s">
        <v>498</v>
      </c>
    </row>
    <row r="104" customFormat="false" ht="15" hidden="false" customHeight="false" outlineLevel="0" collapsed="false">
      <c r="A104" s="9" t="n">
        <v>103</v>
      </c>
      <c r="B104" s="9" t="s">
        <v>894</v>
      </c>
      <c r="C104" s="10" t="n">
        <v>0</v>
      </c>
      <c r="D104" s="10" t="n">
        <v>0</v>
      </c>
      <c r="E104" s="10" t="n">
        <v>0</v>
      </c>
      <c r="F104" s="10" t="n">
        <v>0</v>
      </c>
      <c r="G104" s="10" t="n">
        <v>0</v>
      </c>
      <c r="H104" s="10" t="n">
        <v>0</v>
      </c>
      <c r="I104" s="10" t="n">
        <v>0</v>
      </c>
      <c r="J104" s="10" t="n">
        <v>0</v>
      </c>
      <c r="K104" s="11" t="str">
        <f aca="false">IF(E104+F104=0,"",E104/(E104+F104))</f>
        <v/>
      </c>
      <c r="L104" s="9" t="str">
        <f aca="false">IF(E104+I104&gt;0,"Yes","No")</f>
        <v>No</v>
      </c>
      <c r="M104" s="12"/>
    </row>
    <row r="105" customFormat="false" ht="15" hidden="false" customHeight="false" outlineLevel="0" collapsed="false">
      <c r="A105" s="13" t="n">
        <v>104</v>
      </c>
      <c r="B105" s="13" t="s">
        <v>245</v>
      </c>
      <c r="C105" s="6" t="n">
        <v>100</v>
      </c>
      <c r="D105" s="6" t="n">
        <v>45</v>
      </c>
      <c r="E105" s="6" t="n">
        <v>145</v>
      </c>
      <c r="F105" s="6" t="n">
        <v>0</v>
      </c>
      <c r="G105" s="6" t="n">
        <v>9</v>
      </c>
      <c r="H105" s="6" t="n">
        <v>22</v>
      </c>
      <c r="I105" s="6" t="n">
        <v>31</v>
      </c>
      <c r="J105" s="6" t="n">
        <v>0</v>
      </c>
      <c r="K105" s="7" t="n">
        <f aca="false">IF(E105+F105=0,"",E105/(E105+F105))</f>
        <v>1</v>
      </c>
      <c r="L105" s="13" t="str">
        <f aca="false">IF(E105+I105&gt;0,"Yes","No")</f>
        <v>Yes</v>
      </c>
      <c r="M105" s="14" t="s">
        <v>246</v>
      </c>
    </row>
    <row r="106" customFormat="false" ht="15" hidden="false" customHeight="false" outlineLevel="0" collapsed="false">
      <c r="A106" s="9" t="n">
        <v>105</v>
      </c>
      <c r="B106" s="9" t="s">
        <v>53</v>
      </c>
      <c r="C106" s="10" t="n">
        <v>593</v>
      </c>
      <c r="D106" s="10" t="n">
        <v>946</v>
      </c>
      <c r="E106" s="10" t="n">
        <v>1539</v>
      </c>
      <c r="F106" s="10" t="n">
        <v>23</v>
      </c>
      <c r="G106" s="10" t="n">
        <v>174</v>
      </c>
      <c r="H106" s="10" t="n">
        <v>121</v>
      </c>
      <c r="I106" s="10" t="n">
        <v>295</v>
      </c>
      <c r="J106" s="10" t="n">
        <v>13</v>
      </c>
      <c r="K106" s="11" t="n">
        <f aca="false">IF(E106+F106=0,"",E106/(E106+F106))</f>
        <v>0.985275288092189</v>
      </c>
      <c r="L106" s="9" t="str">
        <f aca="false">IF(E106+I106&gt;0,"Yes","No")</f>
        <v>Yes</v>
      </c>
      <c r="M106" s="12" t="s">
        <v>54</v>
      </c>
    </row>
    <row r="107" customFormat="false" ht="15" hidden="false" customHeight="false" outlineLevel="0" collapsed="false">
      <c r="A107" s="13" t="n">
        <v>106</v>
      </c>
      <c r="B107" s="13" t="s">
        <v>247</v>
      </c>
      <c r="C107" s="6" t="n">
        <v>61</v>
      </c>
      <c r="D107" s="6" t="n">
        <v>77</v>
      </c>
      <c r="E107" s="6" t="n">
        <v>138</v>
      </c>
      <c r="F107" s="6" t="n">
        <v>1</v>
      </c>
      <c r="G107" s="6" t="n">
        <v>15</v>
      </c>
      <c r="H107" s="6" t="n">
        <v>11</v>
      </c>
      <c r="I107" s="6" t="n">
        <v>26</v>
      </c>
      <c r="J107" s="6" t="n">
        <v>1</v>
      </c>
      <c r="K107" s="7" t="n">
        <f aca="false">IF(E107+F107=0,"",E107/(E107+F107))</f>
        <v>0.992805755395684</v>
      </c>
      <c r="L107" s="13" t="str">
        <f aca="false">IF(E107+I107&gt;0,"Yes","No")</f>
        <v>Yes</v>
      </c>
      <c r="M107" s="14" t="s">
        <v>248</v>
      </c>
    </row>
    <row r="108" customFormat="false" ht="15" hidden="false" customHeight="false" outlineLevel="0" collapsed="false">
      <c r="A108" s="9" t="n">
        <v>107</v>
      </c>
      <c r="B108" s="9" t="s">
        <v>223</v>
      </c>
      <c r="C108" s="10" t="n">
        <v>79</v>
      </c>
      <c r="D108" s="10" t="n">
        <v>92</v>
      </c>
      <c r="E108" s="10" t="n">
        <v>171</v>
      </c>
      <c r="F108" s="10" t="n">
        <v>3</v>
      </c>
      <c r="G108" s="10" t="n">
        <v>25</v>
      </c>
      <c r="H108" s="10" t="n">
        <v>10</v>
      </c>
      <c r="I108" s="10" t="n">
        <v>35</v>
      </c>
      <c r="J108" s="10" t="n">
        <v>1</v>
      </c>
      <c r="K108" s="11" t="n">
        <f aca="false">IF(E108+F108=0,"",E108/(E108+F108))</f>
        <v>0.982758620689655</v>
      </c>
      <c r="L108" s="9" t="str">
        <f aca="false">IF(E108+I108&gt;0,"Yes","No")</f>
        <v>Yes</v>
      </c>
      <c r="M108" s="12" t="s">
        <v>224</v>
      </c>
    </row>
    <row r="109" customFormat="false" ht="15" hidden="false" customHeight="false" outlineLevel="0" collapsed="false">
      <c r="A109" s="13" t="n">
        <v>108</v>
      </c>
      <c r="B109" s="13" t="s">
        <v>863</v>
      </c>
      <c r="C109" s="6" t="n">
        <v>0</v>
      </c>
      <c r="D109" s="6" t="n">
        <v>1</v>
      </c>
      <c r="E109" s="6" t="n">
        <v>1</v>
      </c>
      <c r="F109" s="6" t="n">
        <v>0</v>
      </c>
      <c r="G109" s="6" t="n">
        <v>0</v>
      </c>
      <c r="H109" s="6" t="n">
        <v>0</v>
      </c>
      <c r="I109" s="6" t="n">
        <v>0</v>
      </c>
      <c r="J109" s="6" t="n">
        <v>0</v>
      </c>
      <c r="K109" s="7" t="n">
        <f aca="false">IF(E109+F109=0,"",E109/(E109+F109))</f>
        <v>1</v>
      </c>
      <c r="L109" s="13" t="str">
        <f aca="false">IF(E109+I109&gt;0,"Yes","No")</f>
        <v>Yes</v>
      </c>
      <c r="M109" s="14" t="s">
        <v>864</v>
      </c>
    </row>
    <row r="110" customFormat="false" ht="15" hidden="false" customHeight="false" outlineLevel="0" collapsed="false">
      <c r="A110" s="9" t="n">
        <v>109</v>
      </c>
      <c r="B110" s="9" t="s">
        <v>299</v>
      </c>
      <c r="C110" s="10" t="n">
        <v>47</v>
      </c>
      <c r="D110" s="10" t="n">
        <v>55</v>
      </c>
      <c r="E110" s="10" t="n">
        <v>102</v>
      </c>
      <c r="F110" s="10" t="n">
        <v>0</v>
      </c>
      <c r="G110" s="10" t="n">
        <v>13</v>
      </c>
      <c r="H110" s="10" t="n">
        <v>15</v>
      </c>
      <c r="I110" s="10" t="n">
        <v>28</v>
      </c>
      <c r="J110" s="10" t="n">
        <v>0</v>
      </c>
      <c r="K110" s="11" t="n">
        <f aca="false">IF(E110+F110=0,"",E110/(E110+F110))</f>
        <v>1</v>
      </c>
      <c r="L110" s="9" t="str">
        <f aca="false">IF(E110+I110&gt;0,"Yes","No")</f>
        <v>Yes</v>
      </c>
      <c r="M110" s="12" t="s">
        <v>300</v>
      </c>
    </row>
    <row r="111" customFormat="false" ht="15" hidden="false" customHeight="false" outlineLevel="0" collapsed="false">
      <c r="A111" s="13" t="n">
        <v>110</v>
      </c>
      <c r="B111" s="13" t="s">
        <v>141</v>
      </c>
      <c r="C111" s="6" t="n">
        <v>146</v>
      </c>
      <c r="D111" s="6" t="n">
        <v>245</v>
      </c>
      <c r="E111" s="6" t="n">
        <v>391</v>
      </c>
      <c r="F111" s="6" t="n">
        <v>4</v>
      </c>
      <c r="G111" s="6" t="n">
        <v>10</v>
      </c>
      <c r="H111" s="6" t="n">
        <v>26</v>
      </c>
      <c r="I111" s="6" t="n">
        <v>36</v>
      </c>
      <c r="J111" s="6" t="n">
        <v>0</v>
      </c>
      <c r="K111" s="7" t="n">
        <f aca="false">IF(E111+F111=0,"",E111/(E111+F111))</f>
        <v>0.989873417721519</v>
      </c>
      <c r="L111" s="13" t="str">
        <f aca="false">IF(E111+I111&gt;0,"Yes","No")</f>
        <v>Yes</v>
      </c>
      <c r="M111" s="14" t="s">
        <v>142</v>
      </c>
    </row>
    <row r="112" customFormat="false" ht="15" hidden="false" customHeight="false" outlineLevel="0" collapsed="false">
      <c r="A112" s="9" t="n">
        <v>111</v>
      </c>
      <c r="B112" s="9" t="s">
        <v>457</v>
      </c>
      <c r="C112" s="10" t="n">
        <v>25</v>
      </c>
      <c r="D112" s="10" t="n">
        <v>13</v>
      </c>
      <c r="E112" s="10" t="n">
        <v>38</v>
      </c>
      <c r="F112" s="10" t="n">
        <v>1</v>
      </c>
      <c r="G112" s="10" t="n">
        <v>10</v>
      </c>
      <c r="H112" s="10" t="n">
        <v>4</v>
      </c>
      <c r="I112" s="10" t="n">
        <v>14</v>
      </c>
      <c r="J112" s="10" t="n">
        <v>0</v>
      </c>
      <c r="K112" s="11" t="n">
        <f aca="false">IF(E112+F112=0,"",E112/(E112+F112))</f>
        <v>0.974358974358974</v>
      </c>
      <c r="L112" s="9" t="str">
        <f aca="false">IF(E112+I112&gt;0,"Yes","No")</f>
        <v>Yes</v>
      </c>
      <c r="M112" s="12" t="s">
        <v>458</v>
      </c>
    </row>
    <row r="113" customFormat="false" ht="15" hidden="false" customHeight="false" outlineLevel="0" collapsed="false">
      <c r="A113" s="13" t="n">
        <v>112</v>
      </c>
      <c r="B113" s="13" t="s">
        <v>787</v>
      </c>
      <c r="C113" s="6" t="n">
        <v>2</v>
      </c>
      <c r="D113" s="6" t="n">
        <v>2</v>
      </c>
      <c r="E113" s="6" t="n">
        <v>4</v>
      </c>
      <c r="F113" s="6" t="n">
        <v>1</v>
      </c>
      <c r="G113" s="6" t="n">
        <v>0</v>
      </c>
      <c r="H113" s="6" t="n">
        <v>0</v>
      </c>
      <c r="I113" s="6" t="n">
        <v>0</v>
      </c>
      <c r="J113" s="6" t="n">
        <v>0</v>
      </c>
      <c r="K113" s="7" t="n">
        <f aca="false">IF(E113+F113=0,"",E113/(E113+F113))</f>
        <v>0.8</v>
      </c>
      <c r="L113" s="13" t="str">
        <f aca="false">IF(E113+I113&gt;0,"Yes","No")</f>
        <v>Yes</v>
      </c>
      <c r="M113" s="14" t="s">
        <v>788</v>
      </c>
    </row>
    <row r="114" customFormat="false" ht="15" hidden="false" customHeight="false" outlineLevel="0" collapsed="false">
      <c r="A114" s="9" t="n">
        <v>113</v>
      </c>
      <c r="B114" s="9" t="s">
        <v>639</v>
      </c>
      <c r="C114" s="10" t="n">
        <v>6</v>
      </c>
      <c r="D114" s="10" t="n">
        <v>7</v>
      </c>
      <c r="E114" s="10" t="n">
        <v>13</v>
      </c>
      <c r="F114" s="10" t="n">
        <v>0</v>
      </c>
      <c r="G114" s="10" t="n">
        <v>2</v>
      </c>
      <c r="H114" s="10" t="n">
        <v>2</v>
      </c>
      <c r="I114" s="10" t="n">
        <v>4</v>
      </c>
      <c r="J114" s="10" t="n">
        <v>0</v>
      </c>
      <c r="K114" s="11" t="n">
        <f aca="false">IF(E114+F114=0,"",E114/(E114+F114))</f>
        <v>1</v>
      </c>
      <c r="L114" s="9" t="str">
        <f aca="false">IF(E114+I114&gt;0,"Yes","No")</f>
        <v>Yes</v>
      </c>
      <c r="M114" s="12" t="s">
        <v>640</v>
      </c>
    </row>
    <row r="115" customFormat="false" ht="15" hidden="false" customHeight="false" outlineLevel="0" collapsed="false">
      <c r="A115" s="13" t="n">
        <v>114</v>
      </c>
      <c r="B115" s="13" t="s">
        <v>831</v>
      </c>
      <c r="C115" s="6" t="n">
        <v>1</v>
      </c>
      <c r="D115" s="6" t="n">
        <v>1</v>
      </c>
      <c r="E115" s="6" t="n">
        <v>2</v>
      </c>
      <c r="F115" s="6" t="n">
        <v>0</v>
      </c>
      <c r="G115" s="6" t="n">
        <v>0</v>
      </c>
      <c r="H115" s="6" t="n">
        <v>1</v>
      </c>
      <c r="I115" s="6" t="n">
        <v>1</v>
      </c>
      <c r="J115" s="6" t="n">
        <v>0</v>
      </c>
      <c r="K115" s="7" t="n">
        <f aca="false">IF(E115+F115=0,"",E115/(E115+F115))</f>
        <v>1</v>
      </c>
      <c r="L115" s="13" t="str">
        <f aca="false">IF(E115+I115&gt;0,"Yes","No")</f>
        <v>Yes</v>
      </c>
      <c r="M115" s="14" t="s">
        <v>832</v>
      </c>
    </row>
    <row r="116" customFormat="false" ht="15" hidden="false" customHeight="false" outlineLevel="0" collapsed="false">
      <c r="A116" s="9" t="n">
        <v>115</v>
      </c>
      <c r="B116" s="9" t="s">
        <v>577</v>
      </c>
      <c r="C116" s="10" t="n">
        <v>12</v>
      </c>
      <c r="D116" s="10" t="n">
        <v>6</v>
      </c>
      <c r="E116" s="10" t="n">
        <v>18</v>
      </c>
      <c r="F116" s="10" t="n">
        <v>1</v>
      </c>
      <c r="G116" s="10" t="n">
        <v>8</v>
      </c>
      <c r="H116" s="10" t="n">
        <v>1</v>
      </c>
      <c r="I116" s="10" t="n">
        <v>9</v>
      </c>
      <c r="J116" s="10" t="n">
        <v>0</v>
      </c>
      <c r="K116" s="11" t="n">
        <f aca="false">IF(E116+F116=0,"",E116/(E116+F116))</f>
        <v>0.947368421052632</v>
      </c>
      <c r="L116" s="9" t="str">
        <f aca="false">IF(E116+I116&gt;0,"Yes","No")</f>
        <v>Yes</v>
      </c>
      <c r="M116" s="12" t="s">
        <v>578</v>
      </c>
    </row>
    <row r="117" customFormat="false" ht="15" hidden="false" customHeight="false" outlineLevel="0" collapsed="false">
      <c r="A117" s="13" t="n">
        <v>116</v>
      </c>
      <c r="B117" s="13" t="s">
        <v>113</v>
      </c>
      <c r="C117" s="6" t="n">
        <v>325</v>
      </c>
      <c r="D117" s="6" t="n">
        <v>199</v>
      </c>
      <c r="E117" s="6" t="n">
        <v>524</v>
      </c>
      <c r="F117" s="6" t="n">
        <v>9</v>
      </c>
      <c r="G117" s="6" t="n">
        <v>18</v>
      </c>
      <c r="H117" s="6" t="n">
        <v>18</v>
      </c>
      <c r="I117" s="6" t="n">
        <v>36</v>
      </c>
      <c r="J117" s="6" t="n">
        <v>5</v>
      </c>
      <c r="K117" s="7" t="n">
        <f aca="false">IF(E117+F117=0,"",E117/(E117+F117))</f>
        <v>0.983114446529081</v>
      </c>
      <c r="L117" s="13" t="str">
        <f aca="false">IF(E117+I117&gt;0,"Yes","No")</f>
        <v>Yes</v>
      </c>
      <c r="M117" s="14" t="s">
        <v>114</v>
      </c>
    </row>
    <row r="118" customFormat="false" ht="15" hidden="false" customHeight="false" outlineLevel="0" collapsed="false">
      <c r="A118" s="9" t="n">
        <v>117</v>
      </c>
      <c r="B118" s="9" t="s">
        <v>345</v>
      </c>
      <c r="C118" s="10" t="n">
        <v>35</v>
      </c>
      <c r="D118" s="10" t="n">
        <v>41</v>
      </c>
      <c r="E118" s="10" t="n">
        <v>76</v>
      </c>
      <c r="F118" s="10" t="n">
        <v>1</v>
      </c>
      <c r="G118" s="10" t="n">
        <v>2</v>
      </c>
      <c r="H118" s="10" t="n">
        <v>4</v>
      </c>
      <c r="I118" s="10" t="n">
        <v>6</v>
      </c>
      <c r="J118" s="10" t="n">
        <v>0</v>
      </c>
      <c r="K118" s="11" t="n">
        <f aca="false">IF(E118+F118=0,"",E118/(E118+F118))</f>
        <v>0.987012987012987</v>
      </c>
      <c r="L118" s="9" t="str">
        <f aca="false">IF(E118+I118&gt;0,"Yes","No")</f>
        <v>Yes</v>
      </c>
      <c r="M118" s="12" t="s">
        <v>346</v>
      </c>
    </row>
    <row r="119" customFormat="false" ht="15" hidden="false" customHeight="false" outlineLevel="0" collapsed="false">
      <c r="A119" s="13" t="n">
        <v>118</v>
      </c>
      <c r="B119" s="13" t="s">
        <v>239</v>
      </c>
      <c r="C119" s="6" t="n">
        <v>22</v>
      </c>
      <c r="D119" s="6" t="n">
        <v>127</v>
      </c>
      <c r="E119" s="6" t="n">
        <v>149</v>
      </c>
      <c r="F119" s="6" t="n">
        <v>2</v>
      </c>
      <c r="G119" s="6" t="n">
        <v>2</v>
      </c>
      <c r="H119" s="6" t="n">
        <v>8</v>
      </c>
      <c r="I119" s="6" t="n">
        <v>10</v>
      </c>
      <c r="J119" s="6" t="n">
        <v>0</v>
      </c>
      <c r="K119" s="7" t="n">
        <f aca="false">IF(E119+F119=0,"",E119/(E119+F119))</f>
        <v>0.986754966887417</v>
      </c>
      <c r="L119" s="13" t="str">
        <f aca="false">IF(E119+I119&gt;0,"Yes","No")</f>
        <v>Yes</v>
      </c>
      <c r="M119" s="14" t="s">
        <v>240</v>
      </c>
    </row>
    <row r="120" customFormat="false" ht="15" hidden="false" customHeight="false" outlineLevel="0" collapsed="false">
      <c r="A120" s="9" t="n">
        <v>119</v>
      </c>
      <c r="B120" s="9" t="s">
        <v>533</v>
      </c>
      <c r="C120" s="10" t="n">
        <v>16</v>
      </c>
      <c r="D120" s="10" t="n">
        <v>8</v>
      </c>
      <c r="E120" s="10" t="n">
        <v>24</v>
      </c>
      <c r="F120" s="10" t="n">
        <v>0</v>
      </c>
      <c r="G120" s="10" t="n">
        <v>4</v>
      </c>
      <c r="H120" s="10" t="n">
        <v>1</v>
      </c>
      <c r="I120" s="10" t="n">
        <v>5</v>
      </c>
      <c r="J120" s="10" t="n">
        <v>0</v>
      </c>
      <c r="K120" s="11" t="n">
        <f aca="false">IF(E120+F120=0,"",E120/(E120+F120))</f>
        <v>1</v>
      </c>
      <c r="L120" s="9" t="str">
        <f aca="false">IF(E120+I120&gt;0,"Yes","No")</f>
        <v>Yes</v>
      </c>
      <c r="M120" s="12" t="s">
        <v>534</v>
      </c>
    </row>
    <row r="121" customFormat="false" ht="15" hidden="false" customHeight="false" outlineLevel="0" collapsed="false">
      <c r="A121" s="13" t="n">
        <v>120</v>
      </c>
      <c r="B121" s="13" t="s">
        <v>145</v>
      </c>
      <c r="C121" s="6" t="n">
        <v>181</v>
      </c>
      <c r="D121" s="6" t="n">
        <v>191</v>
      </c>
      <c r="E121" s="6" t="n">
        <v>372</v>
      </c>
      <c r="F121" s="6" t="n">
        <v>2</v>
      </c>
      <c r="G121" s="6" t="n">
        <v>14</v>
      </c>
      <c r="H121" s="6" t="n">
        <v>20</v>
      </c>
      <c r="I121" s="6" t="n">
        <v>34</v>
      </c>
      <c r="J121" s="6" t="n">
        <v>0</v>
      </c>
      <c r="K121" s="7" t="n">
        <f aca="false">IF(E121+F121=0,"",E121/(E121+F121))</f>
        <v>0.994652406417112</v>
      </c>
      <c r="L121" s="13" t="str">
        <f aca="false">IF(E121+I121&gt;0,"Yes","No")</f>
        <v>Yes</v>
      </c>
      <c r="M121" s="14" t="s">
        <v>146</v>
      </c>
    </row>
    <row r="122" customFormat="false" ht="15" hidden="false" customHeight="false" outlineLevel="0" collapsed="false">
      <c r="A122" s="9" t="n">
        <v>121</v>
      </c>
      <c r="B122" s="9" t="s">
        <v>89</v>
      </c>
      <c r="C122" s="10" t="n">
        <v>378</v>
      </c>
      <c r="D122" s="10" t="n">
        <v>364</v>
      </c>
      <c r="E122" s="10" t="n">
        <v>742</v>
      </c>
      <c r="F122" s="10" t="n">
        <v>10</v>
      </c>
      <c r="G122" s="10" t="n">
        <v>51</v>
      </c>
      <c r="H122" s="10" t="n">
        <v>33</v>
      </c>
      <c r="I122" s="10" t="n">
        <v>84</v>
      </c>
      <c r="J122" s="10" t="n">
        <v>2</v>
      </c>
      <c r="K122" s="11" t="n">
        <f aca="false">IF(E122+F122=0,"",E122/(E122+F122))</f>
        <v>0.986702127659574</v>
      </c>
      <c r="L122" s="9" t="str">
        <f aca="false">IF(E122+I122&gt;0,"Yes","No")</f>
        <v>Yes</v>
      </c>
      <c r="M122" s="12" t="s">
        <v>90</v>
      </c>
    </row>
    <row r="123" customFormat="false" ht="15" hidden="false" customHeight="false" outlineLevel="0" collapsed="false">
      <c r="A123" s="13" t="n">
        <v>122</v>
      </c>
      <c r="B123" s="13" t="s">
        <v>313</v>
      </c>
      <c r="C123" s="6" t="n">
        <v>77</v>
      </c>
      <c r="D123" s="6" t="n">
        <v>17</v>
      </c>
      <c r="E123" s="6" t="n">
        <v>94</v>
      </c>
      <c r="F123" s="6" t="n">
        <v>2</v>
      </c>
      <c r="G123" s="6" t="n">
        <v>6</v>
      </c>
      <c r="H123" s="6" t="n">
        <v>5</v>
      </c>
      <c r="I123" s="6" t="n">
        <v>11</v>
      </c>
      <c r="J123" s="6" t="n">
        <v>0</v>
      </c>
      <c r="K123" s="7" t="n">
        <f aca="false">IF(E123+F123=0,"",E123/(E123+F123))</f>
        <v>0.979166666666667</v>
      </c>
      <c r="L123" s="13" t="str">
        <f aca="false">IF(E123+I123&gt;0,"Yes","No")</f>
        <v>Yes</v>
      </c>
      <c r="M123" s="14" t="s">
        <v>314</v>
      </c>
    </row>
    <row r="124" customFormat="false" ht="15" hidden="false" customHeight="false" outlineLevel="0" collapsed="false">
      <c r="A124" s="9" t="n">
        <v>123</v>
      </c>
      <c r="B124" s="9" t="s">
        <v>161</v>
      </c>
      <c r="C124" s="10" t="n">
        <v>106</v>
      </c>
      <c r="D124" s="10" t="n">
        <v>184</v>
      </c>
      <c r="E124" s="10" t="n">
        <v>290</v>
      </c>
      <c r="F124" s="10" t="n">
        <v>3</v>
      </c>
      <c r="G124" s="10" t="n">
        <v>30</v>
      </c>
      <c r="H124" s="10" t="n">
        <v>37</v>
      </c>
      <c r="I124" s="10" t="n">
        <v>67</v>
      </c>
      <c r="J124" s="10" t="n">
        <v>1</v>
      </c>
      <c r="K124" s="11" t="n">
        <f aca="false">IF(E124+F124=0,"",E124/(E124+F124))</f>
        <v>0.989761092150171</v>
      </c>
      <c r="L124" s="9" t="str">
        <f aca="false">IF(E124+I124&gt;0,"Yes","No")</f>
        <v>Yes</v>
      </c>
      <c r="M124" s="12" t="s">
        <v>162</v>
      </c>
    </row>
    <row r="125" customFormat="false" ht="15" hidden="false" customHeight="false" outlineLevel="0" collapsed="false">
      <c r="A125" s="13" t="n">
        <v>124</v>
      </c>
      <c r="B125" s="13" t="s">
        <v>895</v>
      </c>
      <c r="C125" s="6" t="n">
        <v>0</v>
      </c>
      <c r="D125" s="6" t="n">
        <v>0</v>
      </c>
      <c r="E125" s="6" t="n">
        <v>0</v>
      </c>
      <c r="F125" s="6" t="n">
        <v>0</v>
      </c>
      <c r="G125" s="6" t="n">
        <v>0</v>
      </c>
      <c r="H125" s="6" t="n">
        <v>0</v>
      </c>
      <c r="I125" s="6" t="n">
        <v>0</v>
      </c>
      <c r="J125" s="6" t="n">
        <v>0</v>
      </c>
      <c r="K125" s="7" t="str">
        <f aca="false">IF(E125+F125=0,"",E125/(E125+F125))</f>
        <v/>
      </c>
      <c r="L125" s="13" t="str">
        <f aca="false">IF(E125+I125&gt;0,"Yes","No")</f>
        <v>No</v>
      </c>
      <c r="M125" s="14"/>
    </row>
    <row r="126" customFormat="false" ht="15" hidden="false" customHeight="false" outlineLevel="0" collapsed="false">
      <c r="A126" s="9" t="n">
        <v>125</v>
      </c>
      <c r="B126" s="9" t="s">
        <v>591</v>
      </c>
      <c r="C126" s="10" t="n">
        <v>16</v>
      </c>
      <c r="D126" s="10" t="n">
        <v>0</v>
      </c>
      <c r="E126" s="10" t="n">
        <v>16</v>
      </c>
      <c r="F126" s="10" t="n">
        <v>1</v>
      </c>
      <c r="G126" s="10" t="n">
        <v>6</v>
      </c>
      <c r="H126" s="10" t="n">
        <v>2</v>
      </c>
      <c r="I126" s="10" t="n">
        <v>8</v>
      </c>
      <c r="J126" s="10" t="n">
        <v>1</v>
      </c>
      <c r="K126" s="11" t="n">
        <f aca="false">IF(E126+F126=0,"",E126/(E126+F126))</f>
        <v>0.941176470588235</v>
      </c>
      <c r="L126" s="9" t="str">
        <f aca="false">IF(E126+I126&gt;0,"Yes","No")</f>
        <v>Yes</v>
      </c>
      <c r="M126" s="12" t="s">
        <v>592</v>
      </c>
    </row>
    <row r="127" customFormat="false" ht="15" hidden="false" customHeight="false" outlineLevel="0" collapsed="false">
      <c r="A127" s="13" t="n">
        <v>126</v>
      </c>
      <c r="B127" s="13" t="s">
        <v>339</v>
      </c>
      <c r="C127" s="6" t="n">
        <v>67</v>
      </c>
      <c r="D127" s="6" t="n">
        <v>12</v>
      </c>
      <c r="E127" s="6" t="n">
        <v>79</v>
      </c>
      <c r="F127" s="6" t="n">
        <v>0</v>
      </c>
      <c r="G127" s="6" t="n">
        <v>22</v>
      </c>
      <c r="H127" s="6" t="n">
        <v>2</v>
      </c>
      <c r="I127" s="6" t="n">
        <v>24</v>
      </c>
      <c r="J127" s="6" t="n">
        <v>0</v>
      </c>
      <c r="K127" s="7" t="n">
        <f aca="false">IF(E127+F127=0,"",E127/(E127+F127))</f>
        <v>1</v>
      </c>
      <c r="L127" s="13" t="str">
        <f aca="false">IF(E127+I127&gt;0,"Yes","No")</f>
        <v>Yes</v>
      </c>
      <c r="M127" s="14" t="s">
        <v>340</v>
      </c>
    </row>
    <row r="128" customFormat="false" ht="15" hidden="false" customHeight="false" outlineLevel="0" collapsed="false">
      <c r="A128" s="9" t="n">
        <v>127</v>
      </c>
      <c r="B128" s="9" t="s">
        <v>97</v>
      </c>
      <c r="C128" s="10" t="n">
        <v>260</v>
      </c>
      <c r="D128" s="10" t="n">
        <v>372</v>
      </c>
      <c r="E128" s="10" t="n">
        <v>632</v>
      </c>
      <c r="F128" s="10" t="n">
        <v>16</v>
      </c>
      <c r="G128" s="10" t="n">
        <v>104</v>
      </c>
      <c r="H128" s="10" t="n">
        <v>85</v>
      </c>
      <c r="I128" s="10" t="n">
        <v>189</v>
      </c>
      <c r="J128" s="10" t="n">
        <v>3</v>
      </c>
      <c r="K128" s="11" t="n">
        <f aca="false">IF(E128+F128=0,"",E128/(E128+F128))</f>
        <v>0.975308641975309</v>
      </c>
      <c r="L128" s="9" t="str">
        <f aca="false">IF(E128+I128&gt;0,"Yes","No")</f>
        <v>Yes</v>
      </c>
      <c r="M128" s="12" t="s">
        <v>98</v>
      </c>
    </row>
    <row r="129" customFormat="false" ht="15" hidden="false" customHeight="false" outlineLevel="0" collapsed="false">
      <c r="A129" s="13" t="n">
        <v>128</v>
      </c>
      <c r="B129" s="13" t="s">
        <v>759</v>
      </c>
      <c r="C129" s="6" t="n">
        <v>2</v>
      </c>
      <c r="D129" s="6" t="n">
        <v>3</v>
      </c>
      <c r="E129" s="6" t="n">
        <v>5</v>
      </c>
      <c r="F129" s="6" t="n">
        <v>0</v>
      </c>
      <c r="G129" s="6" t="n">
        <v>1</v>
      </c>
      <c r="H129" s="6" t="n">
        <v>0</v>
      </c>
      <c r="I129" s="6" t="n">
        <v>1</v>
      </c>
      <c r="J129" s="6" t="n">
        <v>0</v>
      </c>
      <c r="K129" s="7" t="n">
        <f aca="false">IF(E129+F129=0,"",E129/(E129+F129))</f>
        <v>1</v>
      </c>
      <c r="L129" s="13" t="str">
        <f aca="false">IF(E129+I129&gt;0,"Yes","No")</f>
        <v>Yes</v>
      </c>
      <c r="M129" s="14" t="s">
        <v>760</v>
      </c>
    </row>
    <row r="130" customFormat="false" ht="15" hidden="false" customHeight="false" outlineLevel="0" collapsed="false">
      <c r="A130" s="9" t="n">
        <v>129</v>
      </c>
      <c r="B130" s="9" t="s">
        <v>73</v>
      </c>
      <c r="C130" s="10" t="n">
        <v>547</v>
      </c>
      <c r="D130" s="10" t="n">
        <v>423</v>
      </c>
      <c r="E130" s="10" t="n">
        <v>970</v>
      </c>
      <c r="F130" s="10" t="n">
        <v>14</v>
      </c>
      <c r="G130" s="10" t="n">
        <v>153</v>
      </c>
      <c r="H130" s="10" t="n">
        <v>76</v>
      </c>
      <c r="I130" s="10" t="n">
        <v>229</v>
      </c>
      <c r="J130" s="10" t="n">
        <v>3</v>
      </c>
      <c r="K130" s="11" t="n">
        <f aca="false">IF(E130+F130=0,"",E130/(E130+F130))</f>
        <v>0.985772357723577</v>
      </c>
      <c r="L130" s="9" t="str">
        <f aca="false">IF(E130+I130&gt;0,"Yes","No")</f>
        <v>Yes</v>
      </c>
      <c r="M130" s="12" t="s">
        <v>74</v>
      </c>
    </row>
    <row r="131" customFormat="false" ht="15" hidden="false" customHeight="false" outlineLevel="0" collapsed="false">
      <c r="A131" s="13" t="n">
        <v>130</v>
      </c>
      <c r="B131" s="13" t="s">
        <v>99</v>
      </c>
      <c r="C131" s="6" t="n">
        <v>523</v>
      </c>
      <c r="D131" s="6" t="n">
        <v>96</v>
      </c>
      <c r="E131" s="6" t="n">
        <v>619</v>
      </c>
      <c r="F131" s="6" t="n">
        <v>3</v>
      </c>
      <c r="G131" s="6" t="n">
        <v>65</v>
      </c>
      <c r="H131" s="6" t="n">
        <v>11</v>
      </c>
      <c r="I131" s="6" t="n">
        <v>76</v>
      </c>
      <c r="J131" s="6" t="n">
        <v>0</v>
      </c>
      <c r="K131" s="7" t="n">
        <f aca="false">IF(E131+F131=0,"",E131/(E131+F131))</f>
        <v>0.995176848874598</v>
      </c>
      <c r="L131" s="13" t="str">
        <f aca="false">IF(E131+I131&gt;0,"Yes","No")</f>
        <v>Yes</v>
      </c>
      <c r="M131" s="14" t="s">
        <v>100</v>
      </c>
    </row>
    <row r="132" customFormat="false" ht="15" hidden="false" customHeight="false" outlineLevel="0" collapsed="false">
      <c r="A132" s="9" t="n">
        <v>131</v>
      </c>
      <c r="B132" s="9" t="s">
        <v>473</v>
      </c>
      <c r="C132" s="10" t="n">
        <v>20</v>
      </c>
      <c r="D132" s="10" t="n">
        <v>13</v>
      </c>
      <c r="E132" s="10" t="n">
        <v>33</v>
      </c>
      <c r="F132" s="10" t="n">
        <v>0</v>
      </c>
      <c r="G132" s="10" t="n">
        <v>4</v>
      </c>
      <c r="H132" s="10" t="n">
        <v>1</v>
      </c>
      <c r="I132" s="10" t="n">
        <v>5</v>
      </c>
      <c r="J132" s="10" t="n">
        <v>0</v>
      </c>
      <c r="K132" s="11" t="n">
        <f aca="false">IF(E132+F132=0,"",E132/(E132+F132))</f>
        <v>1</v>
      </c>
      <c r="L132" s="9" t="str">
        <f aca="false">IF(E132+I132&gt;0,"Yes","No")</f>
        <v>Yes</v>
      </c>
      <c r="M132" s="12" t="s">
        <v>474</v>
      </c>
    </row>
    <row r="133" customFormat="false" ht="15" hidden="false" customHeight="false" outlineLevel="0" collapsed="false">
      <c r="A133" s="13" t="n">
        <v>132</v>
      </c>
      <c r="B133" s="13" t="s">
        <v>441</v>
      </c>
      <c r="C133" s="6" t="n">
        <v>28</v>
      </c>
      <c r="D133" s="6" t="n">
        <v>13</v>
      </c>
      <c r="E133" s="6" t="n">
        <v>41</v>
      </c>
      <c r="F133" s="6" t="n">
        <v>1</v>
      </c>
      <c r="G133" s="6" t="n">
        <v>2</v>
      </c>
      <c r="H133" s="6" t="n">
        <v>1</v>
      </c>
      <c r="I133" s="6" t="n">
        <v>3</v>
      </c>
      <c r="J133" s="6" t="n">
        <v>1</v>
      </c>
      <c r="K133" s="7" t="n">
        <f aca="false">IF(E133+F133=0,"",E133/(E133+F133))</f>
        <v>0.976190476190476</v>
      </c>
      <c r="L133" s="13" t="str">
        <f aca="false">IF(E133+I133&gt;0,"Yes","No")</f>
        <v>Yes</v>
      </c>
      <c r="M133" s="14" t="s">
        <v>442</v>
      </c>
    </row>
    <row r="134" customFormat="false" ht="15" hidden="false" customHeight="false" outlineLevel="0" collapsed="false">
      <c r="A134" s="9" t="n">
        <v>133</v>
      </c>
      <c r="B134" s="9" t="s">
        <v>837</v>
      </c>
      <c r="C134" s="10" t="n">
        <v>2</v>
      </c>
      <c r="D134" s="10" t="n">
        <v>0</v>
      </c>
      <c r="E134" s="10" t="n">
        <v>2</v>
      </c>
      <c r="F134" s="10" t="n">
        <v>0</v>
      </c>
      <c r="G134" s="10" t="n">
        <v>0</v>
      </c>
      <c r="H134" s="10" t="n">
        <v>0</v>
      </c>
      <c r="I134" s="10" t="n">
        <v>0</v>
      </c>
      <c r="J134" s="10" t="n">
        <v>0</v>
      </c>
      <c r="K134" s="11" t="n">
        <f aca="false">IF(E134+F134=0,"",E134/(E134+F134))</f>
        <v>1</v>
      </c>
      <c r="L134" s="9" t="str">
        <f aca="false">IF(E134+I134&gt;0,"Yes","No")</f>
        <v>Yes</v>
      </c>
      <c r="M134" s="12" t="s">
        <v>838</v>
      </c>
    </row>
    <row r="135" customFormat="false" ht="15" hidden="false" customHeight="false" outlineLevel="0" collapsed="false">
      <c r="A135" s="13" t="n">
        <v>134</v>
      </c>
      <c r="B135" s="13" t="s">
        <v>789</v>
      </c>
      <c r="C135" s="6" t="n">
        <v>1</v>
      </c>
      <c r="D135" s="6" t="n">
        <v>3</v>
      </c>
      <c r="E135" s="6" t="n">
        <v>4</v>
      </c>
      <c r="F135" s="6" t="n">
        <v>0</v>
      </c>
      <c r="G135" s="6" t="n">
        <v>0</v>
      </c>
      <c r="H135" s="6" t="n">
        <v>0</v>
      </c>
      <c r="I135" s="6" t="n">
        <v>0</v>
      </c>
      <c r="J135" s="6" t="n">
        <v>0</v>
      </c>
      <c r="K135" s="7" t="n">
        <f aca="false">IF(E135+F135=0,"",E135/(E135+F135))</f>
        <v>1</v>
      </c>
      <c r="L135" s="13" t="str">
        <f aca="false">IF(E135+I135&gt;0,"Yes","No")</f>
        <v>Yes</v>
      </c>
      <c r="M135" s="14" t="s">
        <v>790</v>
      </c>
    </row>
    <row r="136" customFormat="false" ht="15" hidden="false" customHeight="false" outlineLevel="0" collapsed="false">
      <c r="A136" s="9" t="n">
        <v>135</v>
      </c>
      <c r="B136" s="9" t="s">
        <v>741</v>
      </c>
      <c r="C136" s="10" t="n">
        <v>3</v>
      </c>
      <c r="D136" s="10" t="n">
        <v>3</v>
      </c>
      <c r="E136" s="10" t="n">
        <v>6</v>
      </c>
      <c r="F136" s="10" t="n">
        <v>0</v>
      </c>
      <c r="G136" s="10" t="n">
        <v>0</v>
      </c>
      <c r="H136" s="10" t="n">
        <v>1</v>
      </c>
      <c r="I136" s="10" t="n">
        <v>1</v>
      </c>
      <c r="J136" s="10" t="n">
        <v>0</v>
      </c>
      <c r="K136" s="11" t="n">
        <f aca="false">IF(E136+F136=0,"",E136/(E136+F136))</f>
        <v>1</v>
      </c>
      <c r="L136" s="9" t="str">
        <f aca="false">IF(E136+I136&gt;0,"Yes","No")</f>
        <v>Yes</v>
      </c>
      <c r="M136" s="12" t="s">
        <v>742</v>
      </c>
    </row>
    <row r="137" customFormat="false" ht="15" hidden="false" customHeight="false" outlineLevel="0" collapsed="false">
      <c r="A137" s="13" t="n">
        <v>136</v>
      </c>
      <c r="B137" s="13" t="s">
        <v>761</v>
      </c>
      <c r="C137" s="6" t="n">
        <v>1</v>
      </c>
      <c r="D137" s="6" t="n">
        <v>4</v>
      </c>
      <c r="E137" s="6" t="n">
        <v>5</v>
      </c>
      <c r="F137" s="6" t="n">
        <v>0</v>
      </c>
      <c r="G137" s="6" t="n">
        <v>1</v>
      </c>
      <c r="H137" s="6" t="n">
        <v>0</v>
      </c>
      <c r="I137" s="6" t="n">
        <v>1</v>
      </c>
      <c r="J137" s="6" t="n">
        <v>0</v>
      </c>
      <c r="K137" s="7" t="n">
        <f aca="false">IF(E137+F137=0,"",E137/(E137+F137))</f>
        <v>1</v>
      </c>
      <c r="L137" s="13" t="str">
        <f aca="false">IF(E137+I137&gt;0,"Yes","No")</f>
        <v>Yes</v>
      </c>
      <c r="M137" s="14" t="s">
        <v>762</v>
      </c>
    </row>
    <row r="138" customFormat="false" ht="15" hidden="false" customHeight="false" outlineLevel="0" collapsed="false">
      <c r="A138" s="9" t="n">
        <v>137</v>
      </c>
      <c r="B138" s="9" t="s">
        <v>445</v>
      </c>
      <c r="C138" s="10" t="n">
        <v>6</v>
      </c>
      <c r="D138" s="10" t="n">
        <v>34</v>
      </c>
      <c r="E138" s="10" t="n">
        <v>40</v>
      </c>
      <c r="F138" s="10" t="n">
        <v>0</v>
      </c>
      <c r="G138" s="10" t="n">
        <v>1</v>
      </c>
      <c r="H138" s="10" t="n">
        <v>14</v>
      </c>
      <c r="I138" s="10" t="n">
        <v>15</v>
      </c>
      <c r="J138" s="10" t="n">
        <v>1</v>
      </c>
      <c r="K138" s="11" t="n">
        <f aca="false">IF(E138+F138=0,"",E138/(E138+F138))</f>
        <v>1</v>
      </c>
      <c r="L138" s="9" t="str">
        <f aca="false">IF(E138+I138&gt;0,"Yes","No")</f>
        <v>Yes</v>
      </c>
      <c r="M138" s="12" t="s">
        <v>446</v>
      </c>
    </row>
    <row r="139" customFormat="false" ht="15" hidden="false" customHeight="false" outlineLevel="0" collapsed="false">
      <c r="A139" s="13" t="n">
        <v>138</v>
      </c>
      <c r="B139" s="13" t="s">
        <v>531</v>
      </c>
      <c r="C139" s="6" t="n">
        <v>14</v>
      </c>
      <c r="D139" s="6" t="n">
        <v>10</v>
      </c>
      <c r="E139" s="6" t="n">
        <v>24</v>
      </c>
      <c r="F139" s="6" t="n">
        <v>0</v>
      </c>
      <c r="G139" s="6" t="n">
        <v>8</v>
      </c>
      <c r="H139" s="6" t="n">
        <v>4</v>
      </c>
      <c r="I139" s="6" t="n">
        <v>12</v>
      </c>
      <c r="J139" s="6" t="n">
        <v>0</v>
      </c>
      <c r="K139" s="7" t="n">
        <f aca="false">IF(E139+F139=0,"",E139/(E139+F139))</f>
        <v>1</v>
      </c>
      <c r="L139" s="13" t="str">
        <f aca="false">IF(E139+I139&gt;0,"Yes","No")</f>
        <v>Yes</v>
      </c>
      <c r="M139" s="14" t="s">
        <v>532</v>
      </c>
    </row>
    <row r="140" customFormat="false" ht="15" hidden="false" customHeight="false" outlineLevel="0" collapsed="false">
      <c r="A140" s="9" t="n">
        <v>139</v>
      </c>
      <c r="B140" s="9" t="s">
        <v>173</v>
      </c>
      <c r="C140" s="10" t="n">
        <v>95</v>
      </c>
      <c r="D140" s="10" t="n">
        <v>178</v>
      </c>
      <c r="E140" s="10" t="n">
        <v>273</v>
      </c>
      <c r="F140" s="10" t="n">
        <v>4</v>
      </c>
      <c r="G140" s="10" t="n">
        <v>15</v>
      </c>
      <c r="H140" s="10" t="n">
        <v>42</v>
      </c>
      <c r="I140" s="10" t="n">
        <v>57</v>
      </c>
      <c r="J140" s="10" t="n">
        <v>1</v>
      </c>
      <c r="K140" s="11" t="n">
        <f aca="false">IF(E140+F140=0,"",E140/(E140+F140))</f>
        <v>0.985559566787004</v>
      </c>
      <c r="L140" s="9" t="str">
        <f aca="false">IF(E140+I140&gt;0,"Yes","No")</f>
        <v>Yes</v>
      </c>
      <c r="M140" s="12" t="s">
        <v>174</v>
      </c>
    </row>
    <row r="141" customFormat="false" ht="15" hidden="false" customHeight="false" outlineLevel="0" collapsed="false">
      <c r="A141" s="13" t="n">
        <v>140</v>
      </c>
      <c r="B141" s="13" t="s">
        <v>427</v>
      </c>
      <c r="C141" s="6" t="n">
        <v>26</v>
      </c>
      <c r="D141" s="6" t="n">
        <v>17</v>
      </c>
      <c r="E141" s="6" t="n">
        <v>43</v>
      </c>
      <c r="F141" s="6" t="n">
        <v>2</v>
      </c>
      <c r="G141" s="6" t="n">
        <v>12</v>
      </c>
      <c r="H141" s="6" t="n">
        <v>3</v>
      </c>
      <c r="I141" s="6" t="n">
        <v>15</v>
      </c>
      <c r="J141" s="6" t="n">
        <v>0</v>
      </c>
      <c r="K141" s="7" t="n">
        <f aca="false">IF(E141+F141=0,"",E141/(E141+F141))</f>
        <v>0.955555555555556</v>
      </c>
      <c r="L141" s="13" t="str">
        <f aca="false">IF(E141+I141&gt;0,"Yes","No")</f>
        <v>Yes</v>
      </c>
      <c r="M141" s="14" t="s">
        <v>428</v>
      </c>
    </row>
    <row r="142" customFormat="false" ht="15" hidden="false" customHeight="false" outlineLevel="0" collapsed="false">
      <c r="A142" s="9" t="n">
        <v>141</v>
      </c>
      <c r="B142" s="9" t="s">
        <v>896</v>
      </c>
      <c r="C142" s="10" t="n">
        <v>0</v>
      </c>
      <c r="D142" s="10" t="n">
        <v>0</v>
      </c>
      <c r="E142" s="10" t="n">
        <v>0</v>
      </c>
      <c r="F142" s="10" t="n">
        <v>0</v>
      </c>
      <c r="G142" s="10" t="n">
        <v>0</v>
      </c>
      <c r="H142" s="10" t="n">
        <v>0</v>
      </c>
      <c r="I142" s="10" t="n">
        <v>0</v>
      </c>
      <c r="J142" s="10" t="n">
        <v>0</v>
      </c>
      <c r="K142" s="11" t="str">
        <f aca="false">IF(E142+F142=0,"",E142/(E142+F142))</f>
        <v/>
      </c>
      <c r="L142" s="9" t="str">
        <f aca="false">IF(E142+I142&gt;0,"Yes","No")</f>
        <v>No</v>
      </c>
      <c r="M142" s="12"/>
    </row>
    <row r="143" customFormat="false" ht="15" hidden="false" customHeight="false" outlineLevel="0" collapsed="false">
      <c r="A143" s="13" t="n">
        <v>142</v>
      </c>
      <c r="B143" s="13" t="s">
        <v>217</v>
      </c>
      <c r="C143" s="6" t="n">
        <v>64</v>
      </c>
      <c r="D143" s="6" t="n">
        <v>119</v>
      </c>
      <c r="E143" s="6" t="n">
        <v>183</v>
      </c>
      <c r="F143" s="6" t="n">
        <v>1</v>
      </c>
      <c r="G143" s="6" t="n">
        <v>11</v>
      </c>
      <c r="H143" s="6" t="n">
        <v>24</v>
      </c>
      <c r="I143" s="6" t="n">
        <v>35</v>
      </c>
      <c r="J143" s="6" t="n">
        <v>0</v>
      </c>
      <c r="K143" s="7" t="n">
        <f aca="false">IF(E143+F143=0,"",E143/(E143+F143))</f>
        <v>0.994565217391304</v>
      </c>
      <c r="L143" s="13" t="str">
        <f aca="false">IF(E143+I143&gt;0,"Yes","No")</f>
        <v>Yes</v>
      </c>
      <c r="M143" s="14" t="s">
        <v>218</v>
      </c>
    </row>
    <row r="144" customFormat="false" ht="15" hidden="false" customHeight="false" outlineLevel="0" collapsed="false">
      <c r="A144" s="9" t="n">
        <v>143</v>
      </c>
      <c r="B144" s="9" t="s">
        <v>865</v>
      </c>
      <c r="C144" s="10" t="n">
        <v>1</v>
      </c>
      <c r="D144" s="10" t="n">
        <v>0</v>
      </c>
      <c r="E144" s="10" t="n">
        <v>1</v>
      </c>
      <c r="F144" s="10" t="n">
        <v>0</v>
      </c>
      <c r="G144" s="10" t="n">
        <v>0</v>
      </c>
      <c r="H144" s="10" t="n">
        <v>0</v>
      </c>
      <c r="I144" s="10" t="n">
        <v>0</v>
      </c>
      <c r="J144" s="10" t="n">
        <v>0</v>
      </c>
      <c r="K144" s="11" t="n">
        <f aca="false">IF(E144+F144=0,"",E144/(E144+F144))</f>
        <v>1</v>
      </c>
      <c r="L144" s="9" t="str">
        <f aca="false">IF(E144+I144&gt;0,"Yes","No")</f>
        <v>Yes</v>
      </c>
      <c r="M144" s="12" t="s">
        <v>866</v>
      </c>
    </row>
    <row r="145" customFormat="false" ht="15" hidden="false" customHeight="false" outlineLevel="0" collapsed="false">
      <c r="A145" s="13" t="n">
        <v>144</v>
      </c>
      <c r="B145" s="13" t="s">
        <v>383</v>
      </c>
      <c r="C145" s="6" t="n">
        <v>17</v>
      </c>
      <c r="D145" s="6" t="n">
        <v>45</v>
      </c>
      <c r="E145" s="6" t="n">
        <v>62</v>
      </c>
      <c r="F145" s="6" t="n">
        <v>1</v>
      </c>
      <c r="G145" s="6" t="n">
        <v>6</v>
      </c>
      <c r="H145" s="6" t="n">
        <v>10</v>
      </c>
      <c r="I145" s="6" t="n">
        <v>16</v>
      </c>
      <c r="J145" s="6" t="n">
        <v>1</v>
      </c>
      <c r="K145" s="7" t="n">
        <f aca="false">IF(E145+F145=0,"",E145/(E145+F145))</f>
        <v>0.984126984126984</v>
      </c>
      <c r="L145" s="13" t="str">
        <f aca="false">IF(E145+I145&gt;0,"Yes","No")</f>
        <v>Yes</v>
      </c>
      <c r="M145" s="14" t="s">
        <v>384</v>
      </c>
    </row>
    <row r="146" customFormat="false" ht="15" hidden="false" customHeight="false" outlineLevel="0" collapsed="false">
      <c r="A146" s="9" t="n">
        <v>145</v>
      </c>
      <c r="B146" s="9" t="s">
        <v>499</v>
      </c>
      <c r="C146" s="10" t="n">
        <v>14</v>
      </c>
      <c r="D146" s="10" t="n">
        <v>14</v>
      </c>
      <c r="E146" s="10" t="n">
        <v>28</v>
      </c>
      <c r="F146" s="10" t="n">
        <v>0</v>
      </c>
      <c r="G146" s="10" t="n">
        <v>4</v>
      </c>
      <c r="H146" s="10" t="n">
        <v>0</v>
      </c>
      <c r="I146" s="10" t="n">
        <v>4</v>
      </c>
      <c r="J146" s="10" t="n">
        <v>0</v>
      </c>
      <c r="K146" s="11" t="n">
        <f aca="false">IF(E146+F146=0,"",E146/(E146+F146))</f>
        <v>1</v>
      </c>
      <c r="L146" s="9" t="str">
        <f aca="false">IF(E146+I146&gt;0,"Yes","No")</f>
        <v>Yes</v>
      </c>
      <c r="M146" s="12" t="s">
        <v>500</v>
      </c>
    </row>
    <row r="147" customFormat="false" ht="15" hidden="false" customHeight="false" outlineLevel="0" collapsed="false">
      <c r="A147" s="13" t="n">
        <v>146</v>
      </c>
      <c r="B147" s="13" t="s">
        <v>623</v>
      </c>
      <c r="C147" s="6" t="n">
        <v>11</v>
      </c>
      <c r="D147" s="6" t="n">
        <v>3</v>
      </c>
      <c r="E147" s="6" t="n">
        <v>14</v>
      </c>
      <c r="F147" s="6" t="n">
        <v>0</v>
      </c>
      <c r="G147" s="6" t="n">
        <v>11</v>
      </c>
      <c r="H147" s="6" t="n">
        <v>2</v>
      </c>
      <c r="I147" s="6" t="n">
        <v>13</v>
      </c>
      <c r="J147" s="6" t="n">
        <v>0</v>
      </c>
      <c r="K147" s="7" t="n">
        <f aca="false">IF(E147+F147=0,"",E147/(E147+F147))</f>
        <v>1</v>
      </c>
      <c r="L147" s="13" t="str">
        <f aca="false">IF(E147+I147&gt;0,"Yes","No")</f>
        <v>Yes</v>
      </c>
      <c r="M147" s="14" t="s">
        <v>624</v>
      </c>
    </row>
    <row r="148" customFormat="false" ht="15" hidden="false" customHeight="false" outlineLevel="0" collapsed="false">
      <c r="A148" s="9" t="n">
        <v>147</v>
      </c>
      <c r="B148" s="9" t="s">
        <v>371</v>
      </c>
      <c r="C148" s="10" t="n">
        <v>35</v>
      </c>
      <c r="D148" s="10" t="n">
        <v>29</v>
      </c>
      <c r="E148" s="10" t="n">
        <v>64</v>
      </c>
      <c r="F148" s="10" t="n">
        <v>0</v>
      </c>
      <c r="G148" s="10" t="n">
        <v>11</v>
      </c>
      <c r="H148" s="10" t="n">
        <v>6</v>
      </c>
      <c r="I148" s="10" t="n">
        <v>17</v>
      </c>
      <c r="J148" s="10" t="n">
        <v>0</v>
      </c>
      <c r="K148" s="11" t="n">
        <f aca="false">IF(E148+F148=0,"",E148/(E148+F148))</f>
        <v>1</v>
      </c>
      <c r="L148" s="9" t="str">
        <f aca="false">IF(E148+I148&gt;0,"Yes","No")</f>
        <v>Yes</v>
      </c>
      <c r="M148" s="12" t="s">
        <v>372</v>
      </c>
    </row>
    <row r="149" customFormat="false" ht="15" hidden="false" customHeight="false" outlineLevel="0" collapsed="false">
      <c r="A149" s="13" t="n">
        <v>148</v>
      </c>
      <c r="B149" s="13" t="s">
        <v>233</v>
      </c>
      <c r="C149" s="6" t="n">
        <v>77</v>
      </c>
      <c r="D149" s="6" t="n">
        <v>77</v>
      </c>
      <c r="E149" s="6" t="n">
        <v>154</v>
      </c>
      <c r="F149" s="6" t="n">
        <v>6</v>
      </c>
      <c r="G149" s="6" t="n">
        <v>20</v>
      </c>
      <c r="H149" s="6" t="n">
        <v>22</v>
      </c>
      <c r="I149" s="6" t="n">
        <v>42</v>
      </c>
      <c r="J149" s="6" t="n">
        <v>4</v>
      </c>
      <c r="K149" s="7" t="n">
        <f aca="false">IF(E149+F149=0,"",E149/(E149+F149))</f>
        <v>0.9625</v>
      </c>
      <c r="L149" s="13" t="str">
        <f aca="false">IF(E149+I149&gt;0,"Yes","No")</f>
        <v>Yes</v>
      </c>
      <c r="M149" s="14" t="s">
        <v>234</v>
      </c>
    </row>
    <row r="150" customFormat="false" ht="15" hidden="false" customHeight="false" outlineLevel="0" collapsed="false">
      <c r="A150" s="9" t="n">
        <v>149</v>
      </c>
      <c r="B150" s="9" t="s">
        <v>117</v>
      </c>
      <c r="C150" s="10" t="n">
        <v>257</v>
      </c>
      <c r="D150" s="10" t="n">
        <v>256</v>
      </c>
      <c r="E150" s="10" t="n">
        <v>513</v>
      </c>
      <c r="F150" s="10" t="n">
        <v>8</v>
      </c>
      <c r="G150" s="10" t="n">
        <v>41</v>
      </c>
      <c r="H150" s="10" t="n">
        <v>27</v>
      </c>
      <c r="I150" s="10" t="n">
        <v>68</v>
      </c>
      <c r="J150" s="10" t="n">
        <v>2</v>
      </c>
      <c r="K150" s="11" t="n">
        <f aca="false">IF(E150+F150=0,"",E150/(E150+F150))</f>
        <v>0.984644913627639</v>
      </c>
      <c r="L150" s="9" t="str">
        <f aca="false">IF(E150+I150&gt;0,"Yes","No")</f>
        <v>Yes</v>
      </c>
      <c r="M150" s="12" t="s">
        <v>118</v>
      </c>
    </row>
    <row r="151" customFormat="false" ht="15" hidden="false" customHeight="false" outlineLevel="0" collapsed="false">
      <c r="A151" s="13" t="n">
        <v>150</v>
      </c>
      <c r="B151" s="13" t="s">
        <v>357</v>
      </c>
      <c r="C151" s="6" t="n">
        <v>9</v>
      </c>
      <c r="D151" s="6" t="n">
        <v>59</v>
      </c>
      <c r="E151" s="6" t="n">
        <v>68</v>
      </c>
      <c r="F151" s="6" t="n">
        <v>0</v>
      </c>
      <c r="G151" s="6" t="n">
        <v>3</v>
      </c>
      <c r="H151" s="6" t="n">
        <v>8</v>
      </c>
      <c r="I151" s="6" t="n">
        <v>11</v>
      </c>
      <c r="J151" s="6" t="n">
        <v>0</v>
      </c>
      <c r="K151" s="7" t="n">
        <f aca="false">IF(E151+F151=0,"",E151/(E151+F151))</f>
        <v>1</v>
      </c>
      <c r="L151" s="13" t="str">
        <f aca="false">IF(E151+I151&gt;0,"Yes","No")</f>
        <v>Yes</v>
      </c>
      <c r="M151" s="14" t="s">
        <v>358</v>
      </c>
    </row>
    <row r="152" customFormat="false" ht="15" hidden="false" customHeight="false" outlineLevel="0" collapsed="false">
      <c r="A152" s="9" t="n">
        <v>151</v>
      </c>
      <c r="B152" s="9" t="s">
        <v>539</v>
      </c>
      <c r="C152" s="10" t="n">
        <v>7</v>
      </c>
      <c r="D152" s="10" t="n">
        <v>16</v>
      </c>
      <c r="E152" s="10" t="n">
        <v>23</v>
      </c>
      <c r="F152" s="10" t="n">
        <v>1</v>
      </c>
      <c r="G152" s="10" t="n">
        <v>1</v>
      </c>
      <c r="H152" s="10" t="n">
        <v>3</v>
      </c>
      <c r="I152" s="10" t="n">
        <v>4</v>
      </c>
      <c r="J152" s="10" t="n">
        <v>0</v>
      </c>
      <c r="K152" s="11" t="n">
        <f aca="false">IF(E152+F152=0,"",E152/(E152+F152))</f>
        <v>0.958333333333333</v>
      </c>
      <c r="L152" s="9" t="str">
        <f aca="false">IF(E152+I152&gt;0,"Yes","No")</f>
        <v>Yes</v>
      </c>
      <c r="M152" s="12" t="s">
        <v>540</v>
      </c>
    </row>
    <row r="153" customFormat="false" ht="15" hidden="false" customHeight="false" outlineLevel="0" collapsed="false">
      <c r="A153" s="13" t="n">
        <v>152</v>
      </c>
      <c r="B153" s="13" t="s">
        <v>289</v>
      </c>
      <c r="C153" s="6" t="n">
        <v>8</v>
      </c>
      <c r="D153" s="6" t="n">
        <v>103</v>
      </c>
      <c r="E153" s="6" t="n">
        <v>111</v>
      </c>
      <c r="F153" s="6" t="n">
        <v>0</v>
      </c>
      <c r="G153" s="6" t="n">
        <v>0</v>
      </c>
      <c r="H153" s="6" t="n">
        <v>11</v>
      </c>
      <c r="I153" s="6" t="n">
        <v>11</v>
      </c>
      <c r="J153" s="6" t="n">
        <v>0</v>
      </c>
      <c r="K153" s="7" t="n">
        <f aca="false">IF(E153+F153=0,"",E153/(E153+F153))</f>
        <v>1</v>
      </c>
      <c r="L153" s="13" t="str">
        <f aca="false">IF(E153+I153&gt;0,"Yes","No")</f>
        <v>Yes</v>
      </c>
      <c r="M153" s="14" t="s">
        <v>290</v>
      </c>
    </row>
    <row r="154" customFormat="false" ht="15" hidden="false" customHeight="false" outlineLevel="0" collapsed="false">
      <c r="A154" s="9" t="n">
        <v>153</v>
      </c>
      <c r="B154" s="9" t="s">
        <v>675</v>
      </c>
      <c r="C154" s="10" t="n">
        <v>8</v>
      </c>
      <c r="D154" s="10" t="n">
        <v>3</v>
      </c>
      <c r="E154" s="10" t="n">
        <v>11</v>
      </c>
      <c r="F154" s="10" t="n">
        <v>0</v>
      </c>
      <c r="G154" s="10" t="n">
        <v>0</v>
      </c>
      <c r="H154" s="10" t="n">
        <v>1</v>
      </c>
      <c r="I154" s="10" t="n">
        <v>1</v>
      </c>
      <c r="J154" s="10" t="n">
        <v>0</v>
      </c>
      <c r="K154" s="11" t="n">
        <f aca="false">IF(E154+F154=0,"",E154/(E154+F154))</f>
        <v>1</v>
      </c>
      <c r="L154" s="9" t="str">
        <f aca="false">IF(E154+I154&gt;0,"Yes","No")</f>
        <v>Yes</v>
      </c>
      <c r="M154" s="12" t="s">
        <v>676</v>
      </c>
    </row>
    <row r="155" customFormat="false" ht="15" hidden="false" customHeight="false" outlineLevel="0" collapsed="false">
      <c r="A155" s="13" t="n">
        <v>154</v>
      </c>
      <c r="B155" s="13" t="s">
        <v>107</v>
      </c>
      <c r="C155" s="6" t="n">
        <v>148</v>
      </c>
      <c r="D155" s="6" t="n">
        <v>427</v>
      </c>
      <c r="E155" s="6" t="n">
        <v>575</v>
      </c>
      <c r="F155" s="6" t="n">
        <v>5</v>
      </c>
      <c r="G155" s="6" t="n">
        <v>13</v>
      </c>
      <c r="H155" s="6" t="n">
        <v>74</v>
      </c>
      <c r="I155" s="6" t="n">
        <v>87</v>
      </c>
      <c r="J155" s="6" t="n">
        <v>1</v>
      </c>
      <c r="K155" s="7" t="n">
        <f aca="false">IF(E155+F155=0,"",E155/(E155+F155))</f>
        <v>0.991379310344828</v>
      </c>
      <c r="L155" s="13" t="str">
        <f aca="false">IF(E155+I155&gt;0,"Yes","No")</f>
        <v>Yes</v>
      </c>
      <c r="M155" s="14" t="s">
        <v>108</v>
      </c>
    </row>
    <row r="156" customFormat="false" ht="15" hidden="false" customHeight="false" outlineLevel="0" collapsed="false">
      <c r="A156" s="9" t="n">
        <v>155</v>
      </c>
      <c r="B156" s="9" t="s">
        <v>771</v>
      </c>
      <c r="C156" s="10" t="n">
        <v>4</v>
      </c>
      <c r="D156" s="10" t="n">
        <v>0</v>
      </c>
      <c r="E156" s="10" t="n">
        <v>4</v>
      </c>
      <c r="F156" s="10" t="n">
        <v>0</v>
      </c>
      <c r="G156" s="10" t="n">
        <v>2</v>
      </c>
      <c r="H156" s="10" t="n">
        <v>1</v>
      </c>
      <c r="I156" s="10" t="n">
        <v>3</v>
      </c>
      <c r="J156" s="10" t="n">
        <v>0</v>
      </c>
      <c r="K156" s="11" t="n">
        <f aca="false">IF(E156+F156=0,"",E156/(E156+F156))</f>
        <v>1</v>
      </c>
      <c r="L156" s="9" t="str">
        <f aca="false">IF(E156+I156&gt;0,"Yes","No")</f>
        <v>Yes</v>
      </c>
      <c r="M156" s="12" t="s">
        <v>772</v>
      </c>
    </row>
    <row r="157" customFormat="false" ht="15" hidden="false" customHeight="false" outlineLevel="0" collapsed="false">
      <c r="A157" s="13" t="n">
        <v>156</v>
      </c>
      <c r="B157" s="13" t="s">
        <v>257</v>
      </c>
      <c r="C157" s="6" t="n">
        <v>81</v>
      </c>
      <c r="D157" s="6" t="n">
        <v>46</v>
      </c>
      <c r="E157" s="6" t="n">
        <v>127</v>
      </c>
      <c r="F157" s="6" t="n">
        <v>2</v>
      </c>
      <c r="G157" s="6" t="n">
        <v>14</v>
      </c>
      <c r="H157" s="6" t="n">
        <v>6</v>
      </c>
      <c r="I157" s="6" t="n">
        <v>20</v>
      </c>
      <c r="J157" s="6" t="n">
        <v>0</v>
      </c>
      <c r="K157" s="7" t="n">
        <f aca="false">IF(E157+F157=0,"",E157/(E157+F157))</f>
        <v>0.984496124031008</v>
      </c>
      <c r="L157" s="13" t="str">
        <f aca="false">IF(E157+I157&gt;0,"Yes","No")</f>
        <v>Yes</v>
      </c>
      <c r="M157" s="14" t="s">
        <v>258</v>
      </c>
    </row>
    <row r="158" customFormat="false" ht="15" hidden="false" customHeight="false" outlineLevel="0" collapsed="false">
      <c r="A158" s="9" t="n">
        <v>157</v>
      </c>
      <c r="B158" s="9" t="s">
        <v>307</v>
      </c>
      <c r="C158" s="10" t="n">
        <v>61</v>
      </c>
      <c r="D158" s="10" t="n">
        <v>37</v>
      </c>
      <c r="E158" s="10" t="n">
        <v>98</v>
      </c>
      <c r="F158" s="10" t="n">
        <v>0</v>
      </c>
      <c r="G158" s="10" t="n">
        <v>2</v>
      </c>
      <c r="H158" s="10" t="n">
        <v>8</v>
      </c>
      <c r="I158" s="10" t="n">
        <v>10</v>
      </c>
      <c r="J158" s="10" t="n">
        <v>1</v>
      </c>
      <c r="K158" s="11" t="n">
        <f aca="false">IF(E158+F158=0,"",E158/(E158+F158))</f>
        <v>1</v>
      </c>
      <c r="L158" s="9" t="str">
        <f aca="false">IF(E158+I158&gt;0,"Yes","No")</f>
        <v>Yes</v>
      </c>
      <c r="M158" s="12" t="s">
        <v>308</v>
      </c>
    </row>
    <row r="159" customFormat="false" ht="15" hidden="false" customHeight="false" outlineLevel="0" collapsed="false">
      <c r="A159" s="13" t="n">
        <v>158</v>
      </c>
      <c r="B159" s="13" t="s">
        <v>485</v>
      </c>
      <c r="C159" s="6" t="n">
        <v>10</v>
      </c>
      <c r="D159" s="6" t="n">
        <v>22</v>
      </c>
      <c r="E159" s="6" t="n">
        <v>32</v>
      </c>
      <c r="F159" s="6" t="n">
        <v>1</v>
      </c>
      <c r="G159" s="6" t="n">
        <v>4</v>
      </c>
      <c r="H159" s="6" t="n">
        <v>1</v>
      </c>
      <c r="I159" s="6" t="n">
        <v>5</v>
      </c>
      <c r="J159" s="6" t="n">
        <v>0</v>
      </c>
      <c r="K159" s="7" t="n">
        <f aca="false">IF(E159+F159=0,"",E159/(E159+F159))</f>
        <v>0.96969696969697</v>
      </c>
      <c r="L159" s="13" t="str">
        <f aca="false">IF(E159+I159&gt;0,"Yes","No")</f>
        <v>Yes</v>
      </c>
      <c r="M159" s="14" t="s">
        <v>486</v>
      </c>
    </row>
    <row r="160" customFormat="false" ht="15" hidden="false" customHeight="false" outlineLevel="0" collapsed="false">
      <c r="A160" s="9" t="n">
        <v>159</v>
      </c>
      <c r="B160" s="9" t="s">
        <v>413</v>
      </c>
      <c r="C160" s="10" t="n">
        <v>32</v>
      </c>
      <c r="D160" s="10" t="n">
        <v>14</v>
      </c>
      <c r="E160" s="10" t="n">
        <v>46</v>
      </c>
      <c r="F160" s="10" t="n">
        <v>2</v>
      </c>
      <c r="G160" s="10" t="n">
        <v>3</v>
      </c>
      <c r="H160" s="10" t="n">
        <v>1</v>
      </c>
      <c r="I160" s="10" t="n">
        <v>4</v>
      </c>
      <c r="J160" s="10" t="n">
        <v>0</v>
      </c>
      <c r="K160" s="11" t="n">
        <f aca="false">IF(E160+F160=0,"",E160/(E160+F160))</f>
        <v>0.958333333333333</v>
      </c>
      <c r="L160" s="9" t="str">
        <f aca="false">IF(E160+I160&gt;0,"Yes","No")</f>
        <v>Yes</v>
      </c>
      <c r="M160" s="12" t="s">
        <v>414</v>
      </c>
    </row>
    <row r="161" customFormat="false" ht="15" hidden="false" customHeight="false" outlineLevel="0" collapsed="false">
      <c r="A161" s="13" t="n">
        <v>160</v>
      </c>
      <c r="B161" s="13" t="s">
        <v>803</v>
      </c>
      <c r="C161" s="6" t="n">
        <v>2</v>
      </c>
      <c r="D161" s="6" t="n">
        <v>1</v>
      </c>
      <c r="E161" s="6" t="n">
        <v>3</v>
      </c>
      <c r="F161" s="6" t="n">
        <v>0</v>
      </c>
      <c r="G161" s="6" t="n">
        <v>3</v>
      </c>
      <c r="H161" s="6" t="n">
        <v>0</v>
      </c>
      <c r="I161" s="6" t="n">
        <v>3</v>
      </c>
      <c r="J161" s="6" t="n">
        <v>0</v>
      </c>
      <c r="K161" s="7" t="n">
        <f aca="false">IF(E161+F161=0,"",E161/(E161+F161))</f>
        <v>1</v>
      </c>
      <c r="L161" s="13" t="str">
        <f aca="false">IF(E161+I161&gt;0,"Yes","No")</f>
        <v>Yes</v>
      </c>
      <c r="M161" s="14" t="s">
        <v>804</v>
      </c>
    </row>
    <row r="162" customFormat="false" ht="15" hidden="false" customHeight="false" outlineLevel="0" collapsed="false">
      <c r="A162" s="9" t="n">
        <v>161</v>
      </c>
      <c r="B162" s="9" t="s">
        <v>379</v>
      </c>
      <c r="C162" s="10" t="n">
        <v>39</v>
      </c>
      <c r="D162" s="10" t="n">
        <v>24</v>
      </c>
      <c r="E162" s="10" t="n">
        <v>63</v>
      </c>
      <c r="F162" s="10" t="n">
        <v>0</v>
      </c>
      <c r="G162" s="10" t="n">
        <v>13</v>
      </c>
      <c r="H162" s="10" t="n">
        <v>5</v>
      </c>
      <c r="I162" s="10" t="n">
        <v>18</v>
      </c>
      <c r="J162" s="10" t="n">
        <v>0</v>
      </c>
      <c r="K162" s="11" t="n">
        <f aca="false">IF(E162+F162=0,"",E162/(E162+F162))</f>
        <v>1</v>
      </c>
      <c r="L162" s="9" t="str">
        <f aca="false">IF(E162+I162&gt;0,"Yes","No")</f>
        <v>Yes</v>
      </c>
      <c r="M162" s="12" t="s">
        <v>380</v>
      </c>
    </row>
    <row r="163" customFormat="false" ht="15" hidden="false" customHeight="false" outlineLevel="0" collapsed="false">
      <c r="A163" s="13" t="n">
        <v>162</v>
      </c>
      <c r="B163" s="13" t="s">
        <v>579</v>
      </c>
      <c r="C163" s="6" t="n">
        <v>11</v>
      </c>
      <c r="D163" s="6" t="n">
        <v>7</v>
      </c>
      <c r="E163" s="6" t="n">
        <v>18</v>
      </c>
      <c r="F163" s="6" t="n">
        <v>0</v>
      </c>
      <c r="G163" s="6" t="n">
        <v>4</v>
      </c>
      <c r="H163" s="6" t="n">
        <v>2</v>
      </c>
      <c r="I163" s="6" t="n">
        <v>6</v>
      </c>
      <c r="J163" s="6" t="n">
        <v>0</v>
      </c>
      <c r="K163" s="7" t="n">
        <f aca="false">IF(E163+F163=0,"",E163/(E163+F163))</f>
        <v>1</v>
      </c>
      <c r="L163" s="13" t="str">
        <f aca="false">IF(E163+I163&gt;0,"Yes","No")</f>
        <v>Yes</v>
      </c>
      <c r="M163" s="14" t="s">
        <v>580</v>
      </c>
    </row>
    <row r="164" customFormat="false" ht="15" hidden="false" customHeight="false" outlineLevel="0" collapsed="false">
      <c r="A164" s="9" t="n">
        <v>163</v>
      </c>
      <c r="B164" s="9" t="s">
        <v>367</v>
      </c>
      <c r="C164" s="10" t="n">
        <v>40</v>
      </c>
      <c r="D164" s="10" t="n">
        <v>26</v>
      </c>
      <c r="E164" s="10" t="n">
        <v>66</v>
      </c>
      <c r="F164" s="10" t="n">
        <v>2</v>
      </c>
      <c r="G164" s="10" t="n">
        <v>2</v>
      </c>
      <c r="H164" s="10" t="n">
        <v>6</v>
      </c>
      <c r="I164" s="10" t="n">
        <v>8</v>
      </c>
      <c r="J164" s="10" t="n">
        <v>0</v>
      </c>
      <c r="K164" s="11" t="n">
        <f aca="false">IF(E164+F164=0,"",E164/(E164+F164))</f>
        <v>0.970588235294118</v>
      </c>
      <c r="L164" s="9" t="str">
        <f aca="false">IF(E164+I164&gt;0,"Yes","No")</f>
        <v>Yes</v>
      </c>
      <c r="M164" s="12" t="s">
        <v>368</v>
      </c>
    </row>
    <row r="165" customFormat="false" ht="15" hidden="false" customHeight="false" outlineLevel="0" collapsed="false">
      <c r="A165" s="13" t="n">
        <v>164</v>
      </c>
      <c r="B165" s="13" t="s">
        <v>403</v>
      </c>
      <c r="C165" s="6" t="n">
        <v>14</v>
      </c>
      <c r="D165" s="6" t="n">
        <v>33</v>
      </c>
      <c r="E165" s="6" t="n">
        <v>47</v>
      </c>
      <c r="F165" s="6" t="n">
        <v>0</v>
      </c>
      <c r="G165" s="6" t="n">
        <v>4</v>
      </c>
      <c r="H165" s="6" t="n">
        <v>8</v>
      </c>
      <c r="I165" s="6" t="n">
        <v>12</v>
      </c>
      <c r="J165" s="6" t="n">
        <v>1</v>
      </c>
      <c r="K165" s="7" t="n">
        <f aca="false">IF(E165+F165=0,"",E165/(E165+F165))</f>
        <v>1</v>
      </c>
      <c r="L165" s="13" t="str">
        <f aca="false">IF(E165+I165&gt;0,"Yes","No")</f>
        <v>Yes</v>
      </c>
      <c r="M165" s="14" t="s">
        <v>404</v>
      </c>
    </row>
    <row r="166" customFormat="false" ht="15" hidden="false" customHeight="false" outlineLevel="0" collapsed="false">
      <c r="A166" s="9" t="n">
        <v>165</v>
      </c>
      <c r="B166" s="9" t="s">
        <v>711</v>
      </c>
      <c r="C166" s="10" t="n">
        <v>0</v>
      </c>
      <c r="D166" s="10" t="n">
        <v>8</v>
      </c>
      <c r="E166" s="10" t="n">
        <v>8</v>
      </c>
      <c r="F166" s="10" t="n">
        <v>0</v>
      </c>
      <c r="G166" s="10" t="n">
        <v>1</v>
      </c>
      <c r="H166" s="10" t="n">
        <v>4</v>
      </c>
      <c r="I166" s="10" t="n">
        <v>5</v>
      </c>
      <c r="J166" s="10" t="n">
        <v>0</v>
      </c>
      <c r="K166" s="11" t="n">
        <f aca="false">IF(E166+F166=0,"",E166/(E166+F166))</f>
        <v>1</v>
      </c>
      <c r="L166" s="9" t="str">
        <f aca="false">IF(E166+I166&gt;0,"Yes","No")</f>
        <v>Yes</v>
      </c>
      <c r="M166" s="12" t="s">
        <v>712</v>
      </c>
    </row>
    <row r="167" customFormat="false" ht="15" hidden="false" customHeight="false" outlineLevel="0" collapsed="false">
      <c r="A167" s="13" t="n">
        <v>166</v>
      </c>
      <c r="B167" s="13" t="s">
        <v>513</v>
      </c>
      <c r="C167" s="6" t="n">
        <v>17</v>
      </c>
      <c r="D167" s="6" t="n">
        <v>9</v>
      </c>
      <c r="E167" s="6" t="n">
        <v>26</v>
      </c>
      <c r="F167" s="6" t="n">
        <v>0</v>
      </c>
      <c r="G167" s="6" t="n">
        <v>23</v>
      </c>
      <c r="H167" s="6" t="n">
        <v>2</v>
      </c>
      <c r="I167" s="6" t="n">
        <v>25</v>
      </c>
      <c r="J167" s="6" t="n">
        <v>0</v>
      </c>
      <c r="K167" s="7" t="n">
        <f aca="false">IF(E167+F167=0,"",E167/(E167+F167))</f>
        <v>1</v>
      </c>
      <c r="L167" s="13" t="str">
        <f aca="false">IF(E167+I167&gt;0,"Yes","No")</f>
        <v>Yes</v>
      </c>
      <c r="M167" s="14" t="s">
        <v>514</v>
      </c>
    </row>
    <row r="168" customFormat="false" ht="15" hidden="false" customHeight="false" outlineLevel="0" collapsed="false">
      <c r="A168" s="9" t="n">
        <v>167</v>
      </c>
      <c r="B168" s="9" t="s">
        <v>455</v>
      </c>
      <c r="C168" s="10" t="n">
        <v>26</v>
      </c>
      <c r="D168" s="10" t="n">
        <v>13</v>
      </c>
      <c r="E168" s="10" t="n">
        <v>39</v>
      </c>
      <c r="F168" s="10" t="n">
        <v>0</v>
      </c>
      <c r="G168" s="10" t="n">
        <v>3</v>
      </c>
      <c r="H168" s="10" t="n">
        <v>0</v>
      </c>
      <c r="I168" s="10" t="n">
        <v>3</v>
      </c>
      <c r="J168" s="10" t="n">
        <v>0</v>
      </c>
      <c r="K168" s="11" t="n">
        <f aca="false">IF(E168+F168=0,"",E168/(E168+F168))</f>
        <v>1</v>
      </c>
      <c r="L168" s="9" t="str">
        <f aca="false">IF(E168+I168&gt;0,"Yes","No")</f>
        <v>Yes</v>
      </c>
      <c r="M168" s="12" t="s">
        <v>456</v>
      </c>
    </row>
    <row r="169" customFormat="false" ht="15" hidden="false" customHeight="false" outlineLevel="0" collapsed="false">
      <c r="A169" s="13" t="n">
        <v>168</v>
      </c>
      <c r="B169" s="13" t="s">
        <v>551</v>
      </c>
      <c r="C169" s="6" t="n">
        <v>11</v>
      </c>
      <c r="D169" s="6" t="n">
        <v>11</v>
      </c>
      <c r="E169" s="6" t="n">
        <v>22</v>
      </c>
      <c r="F169" s="6" t="n">
        <v>0</v>
      </c>
      <c r="G169" s="6" t="n">
        <v>4</v>
      </c>
      <c r="H169" s="6" t="n">
        <v>3</v>
      </c>
      <c r="I169" s="6" t="n">
        <v>7</v>
      </c>
      <c r="J169" s="6" t="n">
        <v>0</v>
      </c>
      <c r="K169" s="7" t="n">
        <f aca="false">IF(E169+F169=0,"",E169/(E169+F169))</f>
        <v>1</v>
      </c>
      <c r="L169" s="13" t="str">
        <f aca="false">IF(E169+I169&gt;0,"Yes","No")</f>
        <v>Yes</v>
      </c>
      <c r="M169" s="14" t="s">
        <v>552</v>
      </c>
    </row>
    <row r="170" customFormat="false" ht="15" hidden="false" customHeight="false" outlineLevel="0" collapsed="false">
      <c r="A170" s="9" t="n">
        <v>169</v>
      </c>
      <c r="B170" s="9" t="s">
        <v>475</v>
      </c>
      <c r="C170" s="10" t="n">
        <v>16</v>
      </c>
      <c r="D170" s="10" t="n">
        <v>17</v>
      </c>
      <c r="E170" s="10" t="n">
        <v>33</v>
      </c>
      <c r="F170" s="10" t="n">
        <v>0</v>
      </c>
      <c r="G170" s="10" t="n">
        <v>3</v>
      </c>
      <c r="H170" s="10" t="n">
        <v>1</v>
      </c>
      <c r="I170" s="10" t="n">
        <v>4</v>
      </c>
      <c r="J170" s="10" t="n">
        <v>0</v>
      </c>
      <c r="K170" s="11" t="n">
        <f aca="false">IF(E170+F170=0,"",E170/(E170+F170))</f>
        <v>1</v>
      </c>
      <c r="L170" s="9" t="str">
        <f aca="false">IF(E170+I170&gt;0,"Yes","No")</f>
        <v>Yes</v>
      </c>
      <c r="M170" s="12" t="s">
        <v>476</v>
      </c>
    </row>
    <row r="171" customFormat="false" ht="15" hidden="false" customHeight="false" outlineLevel="0" collapsed="false">
      <c r="A171" s="13" t="n">
        <v>170</v>
      </c>
      <c r="B171" s="13" t="s">
        <v>315</v>
      </c>
      <c r="C171" s="6" t="n">
        <v>47</v>
      </c>
      <c r="D171" s="6" t="n">
        <v>47</v>
      </c>
      <c r="E171" s="6" t="n">
        <v>94</v>
      </c>
      <c r="F171" s="6" t="n">
        <v>4</v>
      </c>
      <c r="G171" s="6" t="n">
        <v>5</v>
      </c>
      <c r="H171" s="6" t="n">
        <v>6</v>
      </c>
      <c r="I171" s="6" t="n">
        <v>11</v>
      </c>
      <c r="J171" s="6" t="n">
        <v>1</v>
      </c>
      <c r="K171" s="7" t="n">
        <f aca="false">IF(E171+F171=0,"",E171/(E171+F171))</f>
        <v>0.959183673469388</v>
      </c>
      <c r="L171" s="13" t="str">
        <f aca="false">IF(E171+I171&gt;0,"Yes","No")</f>
        <v>Yes</v>
      </c>
      <c r="M171" s="14" t="s">
        <v>316</v>
      </c>
    </row>
    <row r="172" customFormat="false" ht="15" hidden="false" customHeight="false" outlineLevel="0" collapsed="false">
      <c r="A172" s="9" t="n">
        <v>171</v>
      </c>
      <c r="B172" s="9" t="s">
        <v>847</v>
      </c>
      <c r="C172" s="10" t="n">
        <v>1</v>
      </c>
      <c r="D172" s="10" t="n">
        <v>0</v>
      </c>
      <c r="E172" s="10" t="n">
        <v>1</v>
      </c>
      <c r="F172" s="10" t="n">
        <v>0</v>
      </c>
      <c r="G172" s="10" t="n">
        <v>1</v>
      </c>
      <c r="H172" s="10" t="n">
        <v>0</v>
      </c>
      <c r="I172" s="10" t="n">
        <v>1</v>
      </c>
      <c r="J172" s="10" t="n">
        <v>0</v>
      </c>
      <c r="K172" s="11" t="n">
        <f aca="false">IF(E172+F172=0,"",E172/(E172+F172))</f>
        <v>1</v>
      </c>
      <c r="L172" s="9" t="str">
        <f aca="false">IF(E172+I172&gt;0,"Yes","No")</f>
        <v>Yes</v>
      </c>
      <c r="M172" s="12" t="s">
        <v>848</v>
      </c>
    </row>
    <row r="173" customFormat="false" ht="15" hidden="false" customHeight="false" outlineLevel="0" collapsed="false">
      <c r="A173" s="13" t="n">
        <v>172</v>
      </c>
      <c r="B173" s="13" t="s">
        <v>603</v>
      </c>
      <c r="C173" s="6" t="n">
        <v>10</v>
      </c>
      <c r="D173" s="6" t="n">
        <v>6</v>
      </c>
      <c r="E173" s="6" t="n">
        <v>16</v>
      </c>
      <c r="F173" s="6" t="n">
        <v>1</v>
      </c>
      <c r="G173" s="6" t="n">
        <v>2</v>
      </c>
      <c r="H173" s="6" t="n">
        <v>0</v>
      </c>
      <c r="I173" s="6" t="n">
        <v>2</v>
      </c>
      <c r="J173" s="6" t="n">
        <v>0</v>
      </c>
      <c r="K173" s="7" t="n">
        <f aca="false">IF(E173+F173=0,"",E173/(E173+F173))</f>
        <v>0.941176470588235</v>
      </c>
      <c r="L173" s="13" t="str">
        <f aca="false">IF(E173+I173&gt;0,"Yes","No")</f>
        <v>Yes</v>
      </c>
      <c r="M173" s="14" t="s">
        <v>604</v>
      </c>
    </row>
    <row r="174" customFormat="false" ht="15" hidden="false" customHeight="false" outlineLevel="0" collapsed="false">
      <c r="A174" s="9" t="n">
        <v>173</v>
      </c>
      <c r="B174" s="9" t="s">
        <v>701</v>
      </c>
      <c r="C174" s="10" t="n">
        <v>2</v>
      </c>
      <c r="D174" s="10" t="n">
        <v>7</v>
      </c>
      <c r="E174" s="10" t="n">
        <v>9</v>
      </c>
      <c r="F174" s="10" t="n">
        <v>0</v>
      </c>
      <c r="G174" s="10" t="n">
        <v>0</v>
      </c>
      <c r="H174" s="10" t="n">
        <v>1</v>
      </c>
      <c r="I174" s="10" t="n">
        <v>1</v>
      </c>
      <c r="J174" s="10" t="n">
        <v>0</v>
      </c>
      <c r="K174" s="11" t="n">
        <f aca="false">IF(E174+F174=0,"",E174/(E174+F174))</f>
        <v>1</v>
      </c>
      <c r="L174" s="9" t="str">
        <f aca="false">IF(E174+I174&gt;0,"Yes","No")</f>
        <v>Yes</v>
      </c>
      <c r="M174" s="12" t="s">
        <v>702</v>
      </c>
    </row>
    <row r="175" customFormat="false" ht="15" hidden="false" customHeight="false" outlineLevel="0" collapsed="false">
      <c r="A175" s="13" t="n">
        <v>174</v>
      </c>
      <c r="B175" s="13" t="s">
        <v>491</v>
      </c>
      <c r="C175" s="6" t="n">
        <v>18</v>
      </c>
      <c r="D175" s="6" t="n">
        <v>11</v>
      </c>
      <c r="E175" s="6" t="n">
        <v>29</v>
      </c>
      <c r="F175" s="6" t="n">
        <v>1</v>
      </c>
      <c r="G175" s="6" t="n">
        <v>7</v>
      </c>
      <c r="H175" s="6" t="n">
        <v>4</v>
      </c>
      <c r="I175" s="6" t="n">
        <v>11</v>
      </c>
      <c r="J175" s="6" t="n">
        <v>1</v>
      </c>
      <c r="K175" s="7" t="n">
        <f aca="false">IF(E175+F175=0,"",E175/(E175+F175))</f>
        <v>0.966666666666667</v>
      </c>
      <c r="L175" s="13" t="str">
        <f aca="false">IF(E175+I175&gt;0,"Yes","No")</f>
        <v>Yes</v>
      </c>
      <c r="M175" s="14" t="s">
        <v>492</v>
      </c>
    </row>
    <row r="176" customFormat="false" ht="15" hidden="false" customHeight="false" outlineLevel="0" collapsed="false">
      <c r="A176" s="9" t="n">
        <v>175</v>
      </c>
      <c r="B176" s="9" t="s">
        <v>273</v>
      </c>
      <c r="C176" s="10" t="n">
        <v>52</v>
      </c>
      <c r="D176" s="10" t="n">
        <v>66</v>
      </c>
      <c r="E176" s="10" t="n">
        <v>118</v>
      </c>
      <c r="F176" s="10" t="n">
        <v>2</v>
      </c>
      <c r="G176" s="10" t="n">
        <v>6</v>
      </c>
      <c r="H176" s="10" t="n">
        <v>7</v>
      </c>
      <c r="I176" s="10" t="n">
        <v>13</v>
      </c>
      <c r="J176" s="10" t="n">
        <v>1</v>
      </c>
      <c r="K176" s="11" t="n">
        <f aca="false">IF(E176+F176=0,"",E176/(E176+F176))</f>
        <v>0.983333333333333</v>
      </c>
      <c r="L176" s="9" t="str">
        <f aca="false">IF(E176+I176&gt;0,"Yes","No")</f>
        <v>Yes</v>
      </c>
      <c r="M176" s="12" t="s">
        <v>274</v>
      </c>
    </row>
    <row r="177" customFormat="false" ht="15" hidden="false" customHeight="false" outlineLevel="0" collapsed="false">
      <c r="A177" s="13" t="n">
        <v>176</v>
      </c>
      <c r="B177" s="13" t="s">
        <v>519</v>
      </c>
      <c r="C177" s="6" t="n">
        <v>12</v>
      </c>
      <c r="D177" s="6" t="n">
        <v>14</v>
      </c>
      <c r="E177" s="6" t="n">
        <v>26</v>
      </c>
      <c r="F177" s="6" t="n">
        <v>1</v>
      </c>
      <c r="G177" s="6" t="n">
        <v>1</v>
      </c>
      <c r="H177" s="6" t="n">
        <v>0</v>
      </c>
      <c r="I177" s="6" t="n">
        <v>1</v>
      </c>
      <c r="J177" s="6" t="n">
        <v>0</v>
      </c>
      <c r="K177" s="7" t="n">
        <f aca="false">IF(E177+F177=0,"",E177/(E177+F177))</f>
        <v>0.962962962962963</v>
      </c>
      <c r="L177" s="13" t="str">
        <f aca="false">IF(E177+I177&gt;0,"Yes","No")</f>
        <v>Yes</v>
      </c>
      <c r="M177" s="14" t="s">
        <v>520</v>
      </c>
    </row>
    <row r="178" customFormat="false" ht="15" hidden="false" customHeight="false" outlineLevel="0" collapsed="false">
      <c r="A178" s="9" t="n">
        <v>177</v>
      </c>
      <c r="B178" s="9" t="s">
        <v>417</v>
      </c>
      <c r="C178" s="10" t="n">
        <v>24</v>
      </c>
      <c r="D178" s="10" t="n">
        <v>21</v>
      </c>
      <c r="E178" s="10" t="n">
        <v>45</v>
      </c>
      <c r="F178" s="10" t="n">
        <v>1</v>
      </c>
      <c r="G178" s="10" t="n">
        <v>2</v>
      </c>
      <c r="H178" s="10" t="n">
        <v>10</v>
      </c>
      <c r="I178" s="10" t="n">
        <v>12</v>
      </c>
      <c r="J178" s="10" t="n">
        <v>0</v>
      </c>
      <c r="K178" s="11" t="n">
        <f aca="false">IF(E178+F178=0,"",E178/(E178+F178))</f>
        <v>0.978260869565217</v>
      </c>
      <c r="L178" s="9" t="str">
        <f aca="false">IF(E178+I178&gt;0,"Yes","No")</f>
        <v>Yes</v>
      </c>
      <c r="M178" s="12" t="s">
        <v>418</v>
      </c>
    </row>
    <row r="179" customFormat="false" ht="15" hidden="false" customHeight="false" outlineLevel="0" collapsed="false">
      <c r="A179" s="13" t="n">
        <v>178</v>
      </c>
      <c r="B179" s="13" t="s">
        <v>465</v>
      </c>
      <c r="C179" s="6" t="n">
        <v>18</v>
      </c>
      <c r="D179" s="6" t="n">
        <v>16</v>
      </c>
      <c r="E179" s="6" t="n">
        <v>34</v>
      </c>
      <c r="F179" s="6" t="n">
        <v>0</v>
      </c>
      <c r="G179" s="6" t="n">
        <v>0</v>
      </c>
      <c r="H179" s="6" t="n">
        <v>2</v>
      </c>
      <c r="I179" s="6" t="n">
        <v>2</v>
      </c>
      <c r="J179" s="6" t="n">
        <v>0</v>
      </c>
      <c r="K179" s="7" t="n">
        <f aca="false">IF(E179+F179=0,"",E179/(E179+F179))</f>
        <v>1</v>
      </c>
      <c r="L179" s="13" t="str">
        <f aca="false">IF(E179+I179&gt;0,"Yes","No")</f>
        <v>Yes</v>
      </c>
      <c r="M179" s="14" t="s">
        <v>466</v>
      </c>
    </row>
    <row r="180" customFormat="false" ht="15" hidden="false" customHeight="false" outlineLevel="0" collapsed="false">
      <c r="A180" s="9" t="n">
        <v>179</v>
      </c>
      <c r="B180" s="9" t="s">
        <v>129</v>
      </c>
      <c r="C180" s="10" t="n">
        <v>230</v>
      </c>
      <c r="D180" s="10" t="n">
        <v>224</v>
      </c>
      <c r="E180" s="10" t="n">
        <v>454</v>
      </c>
      <c r="F180" s="10" t="n">
        <v>3</v>
      </c>
      <c r="G180" s="10" t="n">
        <v>32</v>
      </c>
      <c r="H180" s="10" t="n">
        <v>30</v>
      </c>
      <c r="I180" s="10" t="n">
        <v>62</v>
      </c>
      <c r="J180" s="10" t="n">
        <v>4</v>
      </c>
      <c r="K180" s="11" t="n">
        <f aca="false">IF(E180+F180=0,"",E180/(E180+F180))</f>
        <v>0.993435448577681</v>
      </c>
      <c r="L180" s="9" t="str">
        <f aca="false">IF(E180+I180&gt;0,"Yes","No")</f>
        <v>Yes</v>
      </c>
      <c r="M180" s="12" t="s">
        <v>130</v>
      </c>
    </row>
    <row r="181" customFormat="false" ht="15" hidden="false" customHeight="false" outlineLevel="0" collapsed="false">
      <c r="A181" s="13" t="n">
        <v>180</v>
      </c>
      <c r="B181" s="13" t="s">
        <v>187</v>
      </c>
      <c r="C181" s="6" t="n">
        <v>112</v>
      </c>
      <c r="D181" s="6" t="n">
        <v>119</v>
      </c>
      <c r="E181" s="6" t="n">
        <v>231</v>
      </c>
      <c r="F181" s="6" t="n">
        <v>4</v>
      </c>
      <c r="G181" s="6" t="n">
        <v>7</v>
      </c>
      <c r="H181" s="6" t="n">
        <v>9</v>
      </c>
      <c r="I181" s="6" t="n">
        <v>16</v>
      </c>
      <c r="J181" s="6" t="n">
        <v>1</v>
      </c>
      <c r="K181" s="7" t="n">
        <f aca="false">IF(E181+F181=0,"",E181/(E181+F181))</f>
        <v>0.982978723404255</v>
      </c>
      <c r="L181" s="13" t="str">
        <f aca="false">IF(E181+I181&gt;0,"Yes","No")</f>
        <v>Yes</v>
      </c>
      <c r="M181" s="14" t="s">
        <v>188</v>
      </c>
    </row>
    <row r="182" customFormat="false" ht="15" hidden="false" customHeight="false" outlineLevel="0" collapsed="false">
      <c r="A182" s="9" t="n">
        <v>181</v>
      </c>
      <c r="B182" s="9" t="s">
        <v>87</v>
      </c>
      <c r="C182" s="10" t="n">
        <v>342</v>
      </c>
      <c r="D182" s="10" t="n">
        <v>435</v>
      </c>
      <c r="E182" s="10" t="n">
        <v>777</v>
      </c>
      <c r="F182" s="10" t="n">
        <v>21</v>
      </c>
      <c r="G182" s="10" t="n">
        <v>73</v>
      </c>
      <c r="H182" s="10" t="n">
        <v>46</v>
      </c>
      <c r="I182" s="10" t="n">
        <v>119</v>
      </c>
      <c r="J182" s="10" t="n">
        <v>2</v>
      </c>
      <c r="K182" s="11" t="n">
        <f aca="false">IF(E182+F182=0,"",E182/(E182+F182))</f>
        <v>0.973684210526316</v>
      </c>
      <c r="L182" s="9" t="str">
        <f aca="false">IF(E182+I182&gt;0,"Yes","No")</f>
        <v>Yes</v>
      </c>
      <c r="M182" s="12" t="s">
        <v>88</v>
      </c>
    </row>
    <row r="183" customFormat="false" ht="15" hidden="false" customHeight="false" outlineLevel="0" collapsed="false">
      <c r="A183" s="13" t="n">
        <v>182</v>
      </c>
      <c r="B183" s="13" t="s">
        <v>897</v>
      </c>
      <c r="C183" s="6" t="n">
        <v>0</v>
      </c>
      <c r="D183" s="6" t="n">
        <v>0</v>
      </c>
      <c r="E183" s="6" t="n">
        <v>0</v>
      </c>
      <c r="F183" s="6" t="n">
        <v>0</v>
      </c>
      <c r="G183" s="6" t="n">
        <v>0</v>
      </c>
      <c r="H183" s="6" t="n">
        <v>0</v>
      </c>
      <c r="I183" s="6" t="n">
        <v>0</v>
      </c>
      <c r="J183" s="6" t="n">
        <v>0</v>
      </c>
      <c r="K183" s="7" t="str">
        <f aca="false">IF(E183+F183=0,"",E183/(E183+F183))</f>
        <v/>
      </c>
      <c r="L183" s="13" t="str">
        <f aca="false">IF(E183+I183&gt;0,"Yes","No")</f>
        <v>No</v>
      </c>
      <c r="M183" s="14"/>
    </row>
    <row r="184" customFormat="false" ht="15" hidden="false" customHeight="false" outlineLevel="0" collapsed="false">
      <c r="A184" s="9" t="n">
        <v>183</v>
      </c>
      <c r="B184" s="9" t="s">
        <v>349</v>
      </c>
      <c r="C184" s="10" t="n">
        <v>27</v>
      </c>
      <c r="D184" s="10" t="n">
        <v>44</v>
      </c>
      <c r="E184" s="10" t="n">
        <v>71</v>
      </c>
      <c r="F184" s="10" t="n">
        <v>0</v>
      </c>
      <c r="G184" s="10" t="n">
        <v>2</v>
      </c>
      <c r="H184" s="10" t="n">
        <v>11</v>
      </c>
      <c r="I184" s="10" t="n">
        <v>13</v>
      </c>
      <c r="J184" s="10" t="n">
        <v>0</v>
      </c>
      <c r="K184" s="11" t="n">
        <f aca="false">IF(E184+F184=0,"",E184/(E184+F184))</f>
        <v>1</v>
      </c>
      <c r="L184" s="9" t="str">
        <f aca="false">IF(E184+I184&gt;0,"Yes","No")</f>
        <v>Yes</v>
      </c>
      <c r="M184" s="12" t="s">
        <v>350</v>
      </c>
    </row>
    <row r="185" customFormat="false" ht="15" hidden="false" customHeight="false" outlineLevel="0" collapsed="false">
      <c r="A185" s="13" t="n">
        <v>184</v>
      </c>
      <c r="B185" s="13" t="s">
        <v>535</v>
      </c>
      <c r="C185" s="6" t="n">
        <v>19</v>
      </c>
      <c r="D185" s="6" t="n">
        <v>5</v>
      </c>
      <c r="E185" s="6" t="n">
        <v>24</v>
      </c>
      <c r="F185" s="6" t="n">
        <v>0</v>
      </c>
      <c r="G185" s="6" t="n">
        <v>2</v>
      </c>
      <c r="H185" s="6" t="n">
        <v>1</v>
      </c>
      <c r="I185" s="6" t="n">
        <v>3</v>
      </c>
      <c r="J185" s="6" t="n">
        <v>0</v>
      </c>
      <c r="K185" s="7" t="n">
        <f aca="false">IF(E185+F185=0,"",E185/(E185+F185))</f>
        <v>1</v>
      </c>
      <c r="L185" s="13" t="str">
        <f aca="false">IF(E185+I185&gt;0,"Yes","No")</f>
        <v>Yes</v>
      </c>
      <c r="M185" s="14" t="s">
        <v>536</v>
      </c>
    </row>
    <row r="186" customFormat="false" ht="15" hidden="false" customHeight="false" outlineLevel="0" collapsed="false">
      <c r="A186" s="9" t="n">
        <v>185</v>
      </c>
      <c r="B186" s="9" t="s">
        <v>583</v>
      </c>
      <c r="C186" s="10" t="n">
        <v>7</v>
      </c>
      <c r="D186" s="10" t="n">
        <v>10</v>
      </c>
      <c r="E186" s="10" t="n">
        <v>17</v>
      </c>
      <c r="F186" s="10" t="n">
        <v>0</v>
      </c>
      <c r="G186" s="10" t="n">
        <v>4</v>
      </c>
      <c r="H186" s="10" t="n">
        <v>1</v>
      </c>
      <c r="I186" s="10" t="n">
        <v>5</v>
      </c>
      <c r="J186" s="10" t="n">
        <v>0</v>
      </c>
      <c r="K186" s="11" t="n">
        <f aca="false">IF(E186+F186=0,"",E186/(E186+F186))</f>
        <v>1</v>
      </c>
      <c r="L186" s="9" t="str">
        <f aca="false">IF(E186+I186&gt;0,"Yes","No")</f>
        <v>Yes</v>
      </c>
      <c r="M186" s="12" t="s">
        <v>584</v>
      </c>
    </row>
    <row r="187" customFormat="false" ht="15" hidden="false" customHeight="false" outlineLevel="0" collapsed="false">
      <c r="A187" s="13" t="n">
        <v>186</v>
      </c>
      <c r="B187" s="13" t="s">
        <v>347</v>
      </c>
      <c r="C187" s="6" t="n">
        <v>33</v>
      </c>
      <c r="D187" s="6" t="n">
        <v>42</v>
      </c>
      <c r="E187" s="6" t="n">
        <v>75</v>
      </c>
      <c r="F187" s="6" t="n">
        <v>0</v>
      </c>
      <c r="G187" s="6" t="n">
        <v>12</v>
      </c>
      <c r="H187" s="6" t="n">
        <v>12</v>
      </c>
      <c r="I187" s="6" t="n">
        <v>24</v>
      </c>
      <c r="J187" s="6" t="n">
        <v>0</v>
      </c>
      <c r="K187" s="7" t="n">
        <f aca="false">IF(E187+F187=0,"",E187/(E187+F187))</f>
        <v>1</v>
      </c>
      <c r="L187" s="13" t="str">
        <f aca="false">IF(E187+I187&gt;0,"Yes","No")</f>
        <v>Yes</v>
      </c>
      <c r="M187" s="14" t="s">
        <v>348</v>
      </c>
    </row>
    <row r="188" customFormat="false" ht="15" hidden="false" customHeight="false" outlineLevel="0" collapsed="false">
      <c r="A188" s="9" t="n">
        <v>187</v>
      </c>
      <c r="B188" s="9" t="s">
        <v>517</v>
      </c>
      <c r="C188" s="10" t="n">
        <v>24</v>
      </c>
      <c r="D188" s="10" t="n">
        <v>2</v>
      </c>
      <c r="E188" s="10" t="n">
        <v>26</v>
      </c>
      <c r="F188" s="10" t="n">
        <v>0</v>
      </c>
      <c r="G188" s="10" t="n">
        <v>3</v>
      </c>
      <c r="H188" s="10" t="n">
        <v>1</v>
      </c>
      <c r="I188" s="10" t="n">
        <v>4</v>
      </c>
      <c r="J188" s="10" t="n">
        <v>0</v>
      </c>
      <c r="K188" s="11" t="n">
        <f aca="false">IF(E188+F188=0,"",E188/(E188+F188))</f>
        <v>1</v>
      </c>
      <c r="L188" s="9" t="str">
        <f aca="false">IF(E188+I188&gt;0,"Yes","No")</f>
        <v>Yes</v>
      </c>
      <c r="M188" s="12" t="s">
        <v>518</v>
      </c>
    </row>
    <row r="189" customFormat="false" ht="15" hidden="false" customHeight="false" outlineLevel="0" collapsed="false">
      <c r="A189" s="13" t="n">
        <v>188</v>
      </c>
      <c r="B189" s="13" t="s">
        <v>765</v>
      </c>
      <c r="C189" s="6" t="n">
        <v>3</v>
      </c>
      <c r="D189" s="6" t="n">
        <v>2</v>
      </c>
      <c r="E189" s="6" t="n">
        <v>5</v>
      </c>
      <c r="F189" s="6" t="n">
        <v>0</v>
      </c>
      <c r="G189" s="6" t="n">
        <v>0</v>
      </c>
      <c r="H189" s="6" t="n">
        <v>0</v>
      </c>
      <c r="I189" s="6" t="n">
        <v>0</v>
      </c>
      <c r="J189" s="6" t="n">
        <v>0</v>
      </c>
      <c r="K189" s="7" t="n">
        <f aca="false">IF(E189+F189=0,"",E189/(E189+F189))</f>
        <v>1</v>
      </c>
      <c r="L189" s="13" t="str">
        <f aca="false">IF(E189+I189&gt;0,"Yes","No")</f>
        <v>Yes</v>
      </c>
      <c r="M189" s="14" t="s">
        <v>766</v>
      </c>
    </row>
    <row r="190" customFormat="false" ht="15" hidden="false" customHeight="false" outlineLevel="0" collapsed="false">
      <c r="A190" s="9" t="n">
        <v>189</v>
      </c>
      <c r="B190" s="9" t="s">
        <v>779</v>
      </c>
      <c r="C190" s="10" t="n">
        <v>3</v>
      </c>
      <c r="D190" s="10" t="n">
        <v>1</v>
      </c>
      <c r="E190" s="10" t="n">
        <v>4</v>
      </c>
      <c r="F190" s="10" t="n">
        <v>0</v>
      </c>
      <c r="G190" s="10" t="n">
        <v>1</v>
      </c>
      <c r="H190" s="10" t="n">
        <v>0</v>
      </c>
      <c r="I190" s="10" t="n">
        <v>1</v>
      </c>
      <c r="J190" s="10" t="n">
        <v>0</v>
      </c>
      <c r="K190" s="11" t="n">
        <f aca="false">IF(E190+F190=0,"",E190/(E190+F190))</f>
        <v>1</v>
      </c>
      <c r="L190" s="9" t="str">
        <f aca="false">IF(E190+I190&gt;0,"Yes","No")</f>
        <v>Yes</v>
      </c>
      <c r="M190" s="12" t="s">
        <v>780</v>
      </c>
    </row>
    <row r="191" customFormat="false" ht="15" hidden="false" customHeight="false" outlineLevel="0" collapsed="false">
      <c r="A191" s="13" t="n">
        <v>190</v>
      </c>
      <c r="B191" s="13" t="s">
        <v>581</v>
      </c>
      <c r="C191" s="6" t="n">
        <v>7</v>
      </c>
      <c r="D191" s="6" t="n">
        <v>11</v>
      </c>
      <c r="E191" s="6" t="n">
        <v>18</v>
      </c>
      <c r="F191" s="6" t="n">
        <v>0</v>
      </c>
      <c r="G191" s="6" t="n">
        <v>1</v>
      </c>
      <c r="H191" s="6" t="n">
        <v>1</v>
      </c>
      <c r="I191" s="6" t="n">
        <v>2</v>
      </c>
      <c r="J191" s="6" t="n">
        <v>0</v>
      </c>
      <c r="K191" s="7" t="n">
        <f aca="false">IF(E191+F191=0,"",E191/(E191+F191))</f>
        <v>1</v>
      </c>
      <c r="L191" s="13" t="str">
        <f aca="false">IF(E191+I191&gt;0,"Yes","No")</f>
        <v>Yes</v>
      </c>
      <c r="M191" s="14" t="s">
        <v>582</v>
      </c>
    </row>
    <row r="192" customFormat="false" ht="15" hidden="false" customHeight="false" outlineLevel="0" collapsed="false">
      <c r="A192" s="9" t="n">
        <v>191</v>
      </c>
      <c r="B192" s="9" t="s">
        <v>165</v>
      </c>
      <c r="C192" s="10" t="n">
        <v>119</v>
      </c>
      <c r="D192" s="10" t="n">
        <v>158</v>
      </c>
      <c r="E192" s="10" t="n">
        <v>277</v>
      </c>
      <c r="F192" s="10" t="n">
        <v>3</v>
      </c>
      <c r="G192" s="10" t="n">
        <v>12</v>
      </c>
      <c r="H192" s="10" t="n">
        <v>43</v>
      </c>
      <c r="I192" s="10" t="n">
        <v>55</v>
      </c>
      <c r="J192" s="10" t="n">
        <v>3</v>
      </c>
      <c r="K192" s="11" t="n">
        <f aca="false">IF(E192+F192=0,"",E192/(E192+F192))</f>
        <v>0.989285714285714</v>
      </c>
      <c r="L192" s="9" t="str">
        <f aca="false">IF(E192+I192&gt;0,"Yes","No")</f>
        <v>Yes</v>
      </c>
      <c r="M192" s="12" t="s">
        <v>166</v>
      </c>
    </row>
    <row r="193" customFormat="false" ht="15" hidden="false" customHeight="false" outlineLevel="0" collapsed="false">
      <c r="A193" s="13" t="n">
        <v>192</v>
      </c>
      <c r="B193" s="13" t="s">
        <v>351</v>
      </c>
      <c r="C193" s="6" t="n">
        <v>8</v>
      </c>
      <c r="D193" s="6" t="n">
        <v>62</v>
      </c>
      <c r="E193" s="6" t="n">
        <v>70</v>
      </c>
      <c r="F193" s="6" t="n">
        <v>0</v>
      </c>
      <c r="G193" s="6" t="n">
        <v>0</v>
      </c>
      <c r="H193" s="6" t="n">
        <v>16</v>
      </c>
      <c r="I193" s="6" t="n">
        <v>16</v>
      </c>
      <c r="J193" s="6" t="n">
        <v>2</v>
      </c>
      <c r="K193" s="7" t="n">
        <f aca="false">IF(E193+F193=0,"",E193/(E193+F193))</f>
        <v>1</v>
      </c>
      <c r="L193" s="13" t="str">
        <f aca="false">IF(E193+I193&gt;0,"Yes","No")</f>
        <v>Yes</v>
      </c>
      <c r="M193" s="14" t="s">
        <v>352</v>
      </c>
    </row>
    <row r="194" customFormat="false" ht="15" hidden="false" customHeight="false" outlineLevel="0" collapsed="false">
      <c r="A194" s="9" t="n">
        <v>193</v>
      </c>
      <c r="B194" s="9" t="s">
        <v>889</v>
      </c>
      <c r="C194" s="10" t="n">
        <v>0</v>
      </c>
      <c r="D194" s="10" t="n">
        <v>0</v>
      </c>
      <c r="E194" s="10" t="n">
        <v>0</v>
      </c>
      <c r="F194" s="10" t="n">
        <v>0</v>
      </c>
      <c r="G194" s="10" t="n">
        <v>1</v>
      </c>
      <c r="H194" s="10" t="n">
        <v>0</v>
      </c>
      <c r="I194" s="10" t="n">
        <v>1</v>
      </c>
      <c r="J194" s="10" t="n">
        <v>0</v>
      </c>
      <c r="K194" s="11" t="str">
        <f aca="false">IF(E194+F194=0,"",E194/(E194+F194))</f>
        <v/>
      </c>
      <c r="L194" s="9" t="str">
        <f aca="false">IF(E194+I194&gt;0,"Yes","No")</f>
        <v>Yes</v>
      </c>
      <c r="M194" s="12" t="s">
        <v>890</v>
      </c>
    </row>
    <row r="195" customFormat="false" ht="15" hidden="false" customHeight="false" outlineLevel="0" collapsed="false">
      <c r="A195" s="13" t="n">
        <v>194</v>
      </c>
      <c r="B195" s="13" t="s">
        <v>375</v>
      </c>
      <c r="C195" s="6" t="n">
        <v>19</v>
      </c>
      <c r="D195" s="6" t="n">
        <v>45</v>
      </c>
      <c r="E195" s="6" t="n">
        <v>64</v>
      </c>
      <c r="F195" s="6" t="n">
        <v>0</v>
      </c>
      <c r="G195" s="6" t="n">
        <v>0</v>
      </c>
      <c r="H195" s="6" t="n">
        <v>8</v>
      </c>
      <c r="I195" s="6" t="n">
        <v>8</v>
      </c>
      <c r="J195" s="6" t="n">
        <v>0</v>
      </c>
      <c r="K195" s="7" t="n">
        <f aca="false">IF(E195+F195=0,"",E195/(E195+F195))</f>
        <v>1</v>
      </c>
      <c r="L195" s="13" t="str">
        <f aca="false">IF(E195+I195&gt;0,"Yes","No")</f>
        <v>Yes</v>
      </c>
      <c r="M195" s="14" t="s">
        <v>376</v>
      </c>
    </row>
    <row r="196" customFormat="false" ht="15" hidden="false" customHeight="false" outlineLevel="0" collapsed="false">
      <c r="A196" s="9" t="n">
        <v>195</v>
      </c>
      <c r="B196" s="9" t="s">
        <v>683</v>
      </c>
      <c r="C196" s="10" t="n">
        <v>5</v>
      </c>
      <c r="D196" s="10" t="n">
        <v>5</v>
      </c>
      <c r="E196" s="10" t="n">
        <v>10</v>
      </c>
      <c r="F196" s="10" t="n">
        <v>0</v>
      </c>
      <c r="G196" s="10" t="n">
        <v>0</v>
      </c>
      <c r="H196" s="10" t="n">
        <v>3</v>
      </c>
      <c r="I196" s="10" t="n">
        <v>3</v>
      </c>
      <c r="J196" s="10" t="n">
        <v>1</v>
      </c>
      <c r="K196" s="11" t="n">
        <f aca="false">IF(E196+F196=0,"",E196/(E196+F196))</f>
        <v>1</v>
      </c>
      <c r="L196" s="9" t="str">
        <f aca="false">IF(E196+I196&gt;0,"Yes","No")</f>
        <v>Yes</v>
      </c>
      <c r="M196" s="12" t="s">
        <v>684</v>
      </c>
    </row>
    <row r="197" customFormat="false" ht="15" hidden="false" customHeight="false" outlineLevel="0" collapsed="false">
      <c r="A197" s="13" t="n">
        <v>196</v>
      </c>
      <c r="B197" s="13" t="s">
        <v>435</v>
      </c>
      <c r="C197" s="6" t="n">
        <v>28</v>
      </c>
      <c r="D197" s="6" t="n">
        <v>14</v>
      </c>
      <c r="E197" s="6" t="n">
        <v>42</v>
      </c>
      <c r="F197" s="6" t="n">
        <v>2</v>
      </c>
      <c r="G197" s="6" t="n">
        <v>1</v>
      </c>
      <c r="H197" s="6" t="n">
        <v>6</v>
      </c>
      <c r="I197" s="6" t="n">
        <v>7</v>
      </c>
      <c r="J197" s="6" t="n">
        <v>1</v>
      </c>
      <c r="K197" s="7" t="n">
        <f aca="false">IF(E197+F197=0,"",E197/(E197+F197))</f>
        <v>0.954545454545455</v>
      </c>
      <c r="L197" s="13" t="str">
        <f aca="false">IF(E197+I197&gt;0,"Yes","No")</f>
        <v>Yes</v>
      </c>
      <c r="M197" s="14" t="s">
        <v>436</v>
      </c>
    </row>
    <row r="198" customFormat="false" ht="15" hidden="false" customHeight="false" outlineLevel="0" collapsed="false">
      <c r="A198" s="9" t="n">
        <v>197</v>
      </c>
      <c r="B198" s="9" t="s">
        <v>487</v>
      </c>
      <c r="C198" s="10" t="n">
        <v>14</v>
      </c>
      <c r="D198" s="10" t="n">
        <v>17</v>
      </c>
      <c r="E198" s="10" t="n">
        <v>31</v>
      </c>
      <c r="F198" s="10" t="n">
        <v>0</v>
      </c>
      <c r="G198" s="10" t="n">
        <v>5</v>
      </c>
      <c r="H198" s="10" t="n">
        <v>0</v>
      </c>
      <c r="I198" s="10" t="n">
        <v>5</v>
      </c>
      <c r="J198" s="10" t="n">
        <v>0</v>
      </c>
      <c r="K198" s="11" t="n">
        <f aca="false">IF(E198+F198=0,"",E198/(E198+F198))</f>
        <v>1</v>
      </c>
      <c r="L198" s="9" t="str">
        <f aca="false">IF(E198+I198&gt;0,"Yes","No")</f>
        <v>Yes</v>
      </c>
      <c r="M198" s="12" t="s">
        <v>488</v>
      </c>
    </row>
    <row r="199" customFormat="false" ht="15" hidden="false" customHeight="false" outlineLevel="0" collapsed="false">
      <c r="A199" s="13" t="n">
        <v>198</v>
      </c>
      <c r="B199" s="13" t="s">
        <v>549</v>
      </c>
      <c r="C199" s="6" t="n">
        <v>8</v>
      </c>
      <c r="D199" s="6" t="n">
        <v>14</v>
      </c>
      <c r="E199" s="6" t="n">
        <v>22</v>
      </c>
      <c r="F199" s="6" t="n">
        <v>1</v>
      </c>
      <c r="G199" s="6" t="n">
        <v>2</v>
      </c>
      <c r="H199" s="6" t="n">
        <v>6</v>
      </c>
      <c r="I199" s="6" t="n">
        <v>8</v>
      </c>
      <c r="J199" s="6" t="n">
        <v>0</v>
      </c>
      <c r="K199" s="7" t="n">
        <f aca="false">IF(E199+F199=0,"",E199/(E199+F199))</f>
        <v>0.956521739130435</v>
      </c>
      <c r="L199" s="13" t="str">
        <f aca="false">IF(E199+I199&gt;0,"Yes","No")</f>
        <v>Yes</v>
      </c>
      <c r="M199" s="14" t="s">
        <v>550</v>
      </c>
    </row>
    <row r="200" customFormat="false" ht="15" hidden="false" customHeight="false" outlineLevel="0" collapsed="false">
      <c r="A200" s="9" t="n">
        <v>199</v>
      </c>
      <c r="B200" s="9" t="s">
        <v>791</v>
      </c>
      <c r="C200" s="10" t="n">
        <v>1</v>
      </c>
      <c r="D200" s="10" t="n">
        <v>3</v>
      </c>
      <c r="E200" s="10" t="n">
        <v>4</v>
      </c>
      <c r="F200" s="10" t="n">
        <v>0</v>
      </c>
      <c r="G200" s="10" t="n">
        <v>0</v>
      </c>
      <c r="H200" s="10" t="n">
        <v>0</v>
      </c>
      <c r="I200" s="10" t="n">
        <v>0</v>
      </c>
      <c r="J200" s="10" t="n">
        <v>0</v>
      </c>
      <c r="K200" s="11" t="n">
        <f aca="false">IF(E200+F200=0,"",E200/(E200+F200))</f>
        <v>1</v>
      </c>
      <c r="L200" s="9" t="str">
        <f aca="false">IF(E200+I200&gt;0,"Yes","No")</f>
        <v>Yes</v>
      </c>
      <c r="M200" s="12" t="s">
        <v>792</v>
      </c>
    </row>
    <row r="201" customFormat="false" ht="15" hidden="false" customHeight="false" outlineLevel="0" collapsed="false">
      <c r="A201" s="13" t="n">
        <v>200</v>
      </c>
      <c r="B201" s="13" t="s">
        <v>231</v>
      </c>
      <c r="C201" s="6" t="n">
        <v>81</v>
      </c>
      <c r="D201" s="6" t="n">
        <v>74</v>
      </c>
      <c r="E201" s="6" t="n">
        <v>155</v>
      </c>
      <c r="F201" s="6" t="n">
        <v>0</v>
      </c>
      <c r="G201" s="6" t="n">
        <v>7</v>
      </c>
      <c r="H201" s="6" t="n">
        <v>14</v>
      </c>
      <c r="I201" s="6" t="n">
        <v>21</v>
      </c>
      <c r="J201" s="6" t="n">
        <v>0</v>
      </c>
      <c r="K201" s="7" t="n">
        <f aca="false">IF(E201+F201=0,"",E201/(E201+F201))</f>
        <v>1</v>
      </c>
      <c r="L201" s="13" t="str">
        <f aca="false">IF(E201+I201&gt;0,"Yes","No")</f>
        <v>Yes</v>
      </c>
      <c r="M201" s="14" t="s">
        <v>232</v>
      </c>
    </row>
    <row r="202" customFormat="false" ht="15" hidden="false" customHeight="false" outlineLevel="0" collapsed="false">
      <c r="A202" s="9" t="n">
        <v>201</v>
      </c>
      <c r="B202" s="9" t="s">
        <v>677</v>
      </c>
      <c r="C202" s="10" t="n">
        <v>9</v>
      </c>
      <c r="D202" s="10" t="n">
        <v>2</v>
      </c>
      <c r="E202" s="10" t="n">
        <v>11</v>
      </c>
      <c r="F202" s="10" t="n">
        <v>0</v>
      </c>
      <c r="G202" s="10" t="n">
        <v>0</v>
      </c>
      <c r="H202" s="10" t="n">
        <v>0</v>
      </c>
      <c r="I202" s="10" t="n">
        <v>0</v>
      </c>
      <c r="J202" s="10" t="n">
        <v>0</v>
      </c>
      <c r="K202" s="11" t="n">
        <f aca="false">IF(E202+F202=0,"",E202/(E202+F202))</f>
        <v>1</v>
      </c>
      <c r="L202" s="9" t="str">
        <f aca="false">IF(E202+I202&gt;0,"Yes","No")</f>
        <v>Yes</v>
      </c>
      <c r="M202" s="12" t="s">
        <v>678</v>
      </c>
    </row>
    <row r="203" customFormat="false" ht="15" hidden="false" customHeight="false" outlineLevel="0" collapsed="false">
      <c r="A203" s="13" t="n">
        <v>202</v>
      </c>
      <c r="B203" s="13" t="s">
        <v>419</v>
      </c>
      <c r="C203" s="6" t="n">
        <v>23</v>
      </c>
      <c r="D203" s="6" t="n">
        <v>22</v>
      </c>
      <c r="E203" s="6" t="n">
        <v>45</v>
      </c>
      <c r="F203" s="6" t="n">
        <v>0</v>
      </c>
      <c r="G203" s="6" t="n">
        <v>7</v>
      </c>
      <c r="H203" s="6" t="n">
        <v>5</v>
      </c>
      <c r="I203" s="6" t="n">
        <v>12</v>
      </c>
      <c r="J203" s="6" t="n">
        <v>0</v>
      </c>
      <c r="K203" s="7" t="n">
        <f aca="false">IF(E203+F203=0,"",E203/(E203+F203))</f>
        <v>1</v>
      </c>
      <c r="L203" s="13" t="str">
        <f aca="false">IF(E203+I203&gt;0,"Yes","No")</f>
        <v>Yes</v>
      </c>
      <c r="M203" s="14" t="s">
        <v>420</v>
      </c>
    </row>
    <row r="204" customFormat="false" ht="15" hidden="false" customHeight="false" outlineLevel="0" collapsed="false">
      <c r="A204" s="9" t="n">
        <v>203</v>
      </c>
      <c r="B204" s="9" t="s">
        <v>898</v>
      </c>
      <c r="C204" s="10" t="n">
        <v>0</v>
      </c>
      <c r="D204" s="10" t="n">
        <v>0</v>
      </c>
      <c r="E204" s="10" t="n">
        <v>0</v>
      </c>
      <c r="F204" s="10" t="n">
        <v>0</v>
      </c>
      <c r="G204" s="10" t="n">
        <v>0</v>
      </c>
      <c r="H204" s="10" t="n">
        <v>0</v>
      </c>
      <c r="I204" s="10" t="n">
        <v>0</v>
      </c>
      <c r="J204" s="10" t="n">
        <v>0</v>
      </c>
      <c r="K204" s="11" t="str">
        <f aca="false">IF(E204+F204=0,"",E204/(E204+F204))</f>
        <v/>
      </c>
      <c r="L204" s="9" t="str">
        <f aca="false">IF(E204+I204&gt;0,"Yes","No")</f>
        <v>No</v>
      </c>
      <c r="M204" s="12"/>
    </row>
    <row r="205" customFormat="false" ht="15" hidden="false" customHeight="false" outlineLevel="0" collapsed="false">
      <c r="A205" s="13" t="n">
        <v>204</v>
      </c>
      <c r="B205" s="13" t="s">
        <v>133</v>
      </c>
      <c r="C205" s="6" t="n">
        <v>138</v>
      </c>
      <c r="D205" s="6" t="n">
        <v>286</v>
      </c>
      <c r="E205" s="6" t="n">
        <v>424</v>
      </c>
      <c r="F205" s="6" t="n">
        <v>5</v>
      </c>
      <c r="G205" s="6" t="n">
        <v>35</v>
      </c>
      <c r="H205" s="6" t="n">
        <v>34</v>
      </c>
      <c r="I205" s="6" t="n">
        <v>69</v>
      </c>
      <c r="J205" s="6" t="n">
        <v>0</v>
      </c>
      <c r="K205" s="7" t="n">
        <f aca="false">IF(E205+F205=0,"",E205/(E205+F205))</f>
        <v>0.988344988344988</v>
      </c>
      <c r="L205" s="13" t="str">
        <f aca="false">IF(E205+I205&gt;0,"Yes","No")</f>
        <v>Yes</v>
      </c>
      <c r="M205" s="14" t="s">
        <v>134</v>
      </c>
    </row>
    <row r="206" customFormat="false" ht="15" hidden="false" customHeight="false" outlineLevel="0" collapsed="false">
      <c r="A206" s="9" t="n">
        <v>205</v>
      </c>
      <c r="B206" s="9" t="s">
        <v>39</v>
      </c>
      <c r="C206" s="10" t="n">
        <v>2427</v>
      </c>
      <c r="D206" s="10" t="n">
        <v>284</v>
      </c>
      <c r="E206" s="10" t="n">
        <v>2711</v>
      </c>
      <c r="F206" s="10" t="n">
        <v>70</v>
      </c>
      <c r="G206" s="10" t="n">
        <v>936</v>
      </c>
      <c r="H206" s="10" t="n">
        <v>47</v>
      </c>
      <c r="I206" s="10" t="n">
        <v>983</v>
      </c>
      <c r="J206" s="10" t="n">
        <v>15</v>
      </c>
      <c r="K206" s="11" t="n">
        <f aca="false">IF(E206+F206=0,"",E206/(E206+F206))</f>
        <v>0.974829198130169</v>
      </c>
      <c r="L206" s="9" t="str">
        <f aca="false">IF(E206+I206&gt;0,"Yes","No")</f>
        <v>Yes</v>
      </c>
      <c r="M206" s="12" t="s">
        <v>40</v>
      </c>
    </row>
    <row r="207" customFormat="false" ht="15" hidden="false" customHeight="false" outlineLevel="0" collapsed="false">
      <c r="A207" s="13" t="n">
        <v>206</v>
      </c>
      <c r="B207" s="13" t="s">
        <v>325</v>
      </c>
      <c r="C207" s="6" t="n">
        <v>45</v>
      </c>
      <c r="D207" s="6" t="n">
        <v>41</v>
      </c>
      <c r="E207" s="6" t="n">
        <v>86</v>
      </c>
      <c r="F207" s="6" t="n">
        <v>3</v>
      </c>
      <c r="G207" s="6" t="n">
        <v>6</v>
      </c>
      <c r="H207" s="6" t="n">
        <v>12</v>
      </c>
      <c r="I207" s="6" t="n">
        <v>18</v>
      </c>
      <c r="J207" s="6" t="n">
        <v>0</v>
      </c>
      <c r="K207" s="7" t="n">
        <f aca="false">IF(E207+F207=0,"",E207/(E207+F207))</f>
        <v>0.966292134831461</v>
      </c>
      <c r="L207" s="13" t="str">
        <f aca="false">IF(E207+I207&gt;0,"Yes","No")</f>
        <v>Yes</v>
      </c>
      <c r="M207" s="14" t="s">
        <v>326</v>
      </c>
    </row>
    <row r="208" customFormat="false" ht="15" hidden="false" customHeight="false" outlineLevel="0" collapsed="false">
      <c r="A208" s="9" t="n">
        <v>207</v>
      </c>
      <c r="B208" s="9" t="s">
        <v>123</v>
      </c>
      <c r="C208" s="10" t="n">
        <v>159</v>
      </c>
      <c r="D208" s="10" t="n">
        <v>308</v>
      </c>
      <c r="E208" s="10" t="n">
        <v>467</v>
      </c>
      <c r="F208" s="10" t="n">
        <v>1</v>
      </c>
      <c r="G208" s="10" t="n">
        <v>63</v>
      </c>
      <c r="H208" s="10" t="n">
        <v>33</v>
      </c>
      <c r="I208" s="10" t="n">
        <v>96</v>
      </c>
      <c r="J208" s="10" t="n">
        <v>1</v>
      </c>
      <c r="K208" s="11" t="n">
        <f aca="false">IF(E208+F208=0,"",E208/(E208+F208))</f>
        <v>0.997863247863248</v>
      </c>
      <c r="L208" s="9" t="str">
        <f aca="false">IF(E208+I208&gt;0,"Yes","No")</f>
        <v>Yes</v>
      </c>
      <c r="M208" s="12" t="s">
        <v>124</v>
      </c>
    </row>
    <row r="209" customFormat="false" ht="15" hidden="false" customHeight="false" outlineLevel="0" collapsed="false">
      <c r="A209" s="13" t="n">
        <v>208</v>
      </c>
      <c r="B209" s="13" t="s">
        <v>839</v>
      </c>
      <c r="C209" s="6" t="n">
        <v>1</v>
      </c>
      <c r="D209" s="6" t="n">
        <v>1</v>
      </c>
      <c r="E209" s="6" t="n">
        <v>2</v>
      </c>
      <c r="F209" s="6" t="n">
        <v>0</v>
      </c>
      <c r="G209" s="6" t="n">
        <v>0</v>
      </c>
      <c r="H209" s="6" t="n">
        <v>0</v>
      </c>
      <c r="I209" s="6" t="n">
        <v>0</v>
      </c>
      <c r="J209" s="6" t="n">
        <v>0</v>
      </c>
      <c r="K209" s="7" t="n">
        <f aca="false">IF(E209+F209=0,"",E209/(E209+F209))</f>
        <v>1</v>
      </c>
      <c r="L209" s="13" t="str">
        <f aca="false">IF(E209+I209&gt;0,"Yes","No")</f>
        <v>Yes</v>
      </c>
      <c r="M209" s="14" t="s">
        <v>840</v>
      </c>
    </row>
    <row r="210" customFormat="false" ht="15" hidden="false" customHeight="false" outlineLevel="0" collapsed="false">
      <c r="A210" s="9" t="n">
        <v>209</v>
      </c>
      <c r="B210" s="9" t="s">
        <v>415</v>
      </c>
      <c r="C210" s="10" t="n">
        <v>14</v>
      </c>
      <c r="D210" s="10" t="n">
        <v>32</v>
      </c>
      <c r="E210" s="10" t="n">
        <v>46</v>
      </c>
      <c r="F210" s="10" t="n">
        <v>0</v>
      </c>
      <c r="G210" s="10" t="n">
        <v>1</v>
      </c>
      <c r="H210" s="10" t="n">
        <v>1</v>
      </c>
      <c r="I210" s="10" t="n">
        <v>2</v>
      </c>
      <c r="J210" s="10" t="n">
        <v>0</v>
      </c>
      <c r="K210" s="11" t="n">
        <f aca="false">IF(E210+F210=0,"",E210/(E210+F210))</f>
        <v>1</v>
      </c>
      <c r="L210" s="9" t="str">
        <f aca="false">IF(E210+I210&gt;0,"Yes","No")</f>
        <v>Yes</v>
      </c>
      <c r="M210" s="12" t="s">
        <v>416</v>
      </c>
    </row>
    <row r="211" customFormat="false" ht="15" hidden="false" customHeight="false" outlineLevel="0" collapsed="false">
      <c r="A211" s="13" t="n">
        <v>210</v>
      </c>
      <c r="B211" s="13" t="s">
        <v>679</v>
      </c>
      <c r="C211" s="6" t="n">
        <v>5</v>
      </c>
      <c r="D211" s="6" t="n">
        <v>6</v>
      </c>
      <c r="E211" s="6" t="n">
        <v>11</v>
      </c>
      <c r="F211" s="6" t="n">
        <v>0</v>
      </c>
      <c r="G211" s="6" t="n">
        <v>0</v>
      </c>
      <c r="H211" s="6" t="n">
        <v>0</v>
      </c>
      <c r="I211" s="6" t="n">
        <v>0</v>
      </c>
      <c r="J211" s="6" t="n">
        <v>0</v>
      </c>
      <c r="K211" s="7" t="n">
        <f aca="false">IF(E211+F211=0,"",E211/(E211+F211))</f>
        <v>1</v>
      </c>
      <c r="L211" s="13" t="str">
        <f aca="false">IF(E211+I211&gt;0,"Yes","No")</f>
        <v>Yes</v>
      </c>
      <c r="M211" s="14" t="s">
        <v>680</v>
      </c>
    </row>
    <row r="212" customFormat="false" ht="15" hidden="false" customHeight="false" outlineLevel="0" collapsed="false">
      <c r="A212" s="9" t="n">
        <v>211</v>
      </c>
      <c r="B212" s="9" t="s">
        <v>281</v>
      </c>
      <c r="C212" s="10" t="n">
        <v>45</v>
      </c>
      <c r="D212" s="10" t="n">
        <v>71</v>
      </c>
      <c r="E212" s="10" t="n">
        <v>116</v>
      </c>
      <c r="F212" s="10" t="n">
        <v>0</v>
      </c>
      <c r="G212" s="10" t="n">
        <v>5</v>
      </c>
      <c r="H212" s="10" t="n">
        <v>13</v>
      </c>
      <c r="I212" s="10" t="n">
        <v>18</v>
      </c>
      <c r="J212" s="10" t="n">
        <v>0</v>
      </c>
      <c r="K212" s="11" t="n">
        <f aca="false">IF(E212+F212=0,"",E212/(E212+F212))</f>
        <v>1</v>
      </c>
      <c r="L212" s="9" t="str">
        <f aca="false">IF(E212+I212&gt;0,"Yes","No")</f>
        <v>Yes</v>
      </c>
      <c r="M212" s="12" t="s">
        <v>282</v>
      </c>
    </row>
    <row r="213" customFormat="false" ht="15" hidden="false" customHeight="false" outlineLevel="0" collapsed="false">
      <c r="A213" s="13" t="n">
        <v>212</v>
      </c>
      <c r="B213" s="13" t="s">
        <v>767</v>
      </c>
      <c r="C213" s="6" t="n">
        <v>4</v>
      </c>
      <c r="D213" s="6" t="n">
        <v>1</v>
      </c>
      <c r="E213" s="6" t="n">
        <v>5</v>
      </c>
      <c r="F213" s="6" t="n">
        <v>0</v>
      </c>
      <c r="G213" s="6" t="n">
        <v>0</v>
      </c>
      <c r="H213" s="6" t="n">
        <v>0</v>
      </c>
      <c r="I213" s="6" t="n">
        <v>0</v>
      </c>
      <c r="J213" s="6" t="n">
        <v>0</v>
      </c>
      <c r="K213" s="7" t="n">
        <f aca="false">IF(E213+F213=0,"",E213/(E213+F213))</f>
        <v>1</v>
      </c>
      <c r="L213" s="13" t="str">
        <f aca="false">IF(E213+I213&gt;0,"Yes","No")</f>
        <v>Yes</v>
      </c>
      <c r="M213" s="14" t="s">
        <v>768</v>
      </c>
    </row>
    <row r="214" customFormat="false" ht="15" hidden="false" customHeight="false" outlineLevel="0" collapsed="false">
      <c r="A214" s="9" t="n">
        <v>213</v>
      </c>
      <c r="B214" s="9" t="s">
        <v>569</v>
      </c>
      <c r="C214" s="10" t="n">
        <v>6</v>
      </c>
      <c r="D214" s="10" t="n">
        <v>13</v>
      </c>
      <c r="E214" s="10" t="n">
        <v>19</v>
      </c>
      <c r="F214" s="10" t="n">
        <v>0</v>
      </c>
      <c r="G214" s="10" t="n">
        <v>2</v>
      </c>
      <c r="H214" s="10" t="n">
        <v>4</v>
      </c>
      <c r="I214" s="10" t="n">
        <v>6</v>
      </c>
      <c r="J214" s="10" t="n">
        <v>0</v>
      </c>
      <c r="K214" s="11" t="n">
        <f aca="false">IF(E214+F214=0,"",E214/(E214+F214))</f>
        <v>1</v>
      </c>
      <c r="L214" s="9" t="str">
        <f aca="false">IF(E214+I214&gt;0,"Yes","No")</f>
        <v>Yes</v>
      </c>
      <c r="M214" s="12" t="s">
        <v>570</v>
      </c>
    </row>
    <row r="215" customFormat="false" ht="15" hidden="false" customHeight="false" outlineLevel="0" collapsed="false">
      <c r="A215" s="13" t="n">
        <v>214</v>
      </c>
      <c r="B215" s="13" t="s">
        <v>493</v>
      </c>
      <c r="C215" s="6" t="n">
        <v>14</v>
      </c>
      <c r="D215" s="6" t="n">
        <v>15</v>
      </c>
      <c r="E215" s="6" t="n">
        <v>29</v>
      </c>
      <c r="F215" s="6" t="n">
        <v>0</v>
      </c>
      <c r="G215" s="6" t="n">
        <v>3</v>
      </c>
      <c r="H215" s="6" t="n">
        <v>1</v>
      </c>
      <c r="I215" s="6" t="n">
        <v>4</v>
      </c>
      <c r="J215" s="6" t="n">
        <v>0</v>
      </c>
      <c r="K215" s="7" t="n">
        <f aca="false">IF(E215+F215=0,"",E215/(E215+F215))</f>
        <v>1</v>
      </c>
      <c r="L215" s="13" t="str">
        <f aca="false">IF(E215+I215&gt;0,"Yes","No")</f>
        <v>Yes</v>
      </c>
      <c r="M215" s="14" t="s">
        <v>494</v>
      </c>
    </row>
    <row r="216" customFormat="false" ht="15" hidden="false" customHeight="false" outlineLevel="0" collapsed="false">
      <c r="A216" s="9" t="n">
        <v>215</v>
      </c>
      <c r="B216" s="9" t="s">
        <v>575</v>
      </c>
      <c r="C216" s="10" t="n">
        <v>9</v>
      </c>
      <c r="D216" s="10" t="n">
        <v>10</v>
      </c>
      <c r="E216" s="10" t="n">
        <v>19</v>
      </c>
      <c r="F216" s="10" t="n">
        <v>0</v>
      </c>
      <c r="G216" s="10" t="n">
        <v>2</v>
      </c>
      <c r="H216" s="10" t="n">
        <v>1</v>
      </c>
      <c r="I216" s="10" t="n">
        <v>3</v>
      </c>
      <c r="J216" s="10" t="n">
        <v>0</v>
      </c>
      <c r="K216" s="11" t="n">
        <f aca="false">IF(E216+F216=0,"",E216/(E216+F216))</f>
        <v>1</v>
      </c>
      <c r="L216" s="9" t="str">
        <f aca="false">IF(E216+I216&gt;0,"Yes","No")</f>
        <v>Yes</v>
      </c>
      <c r="M216" s="12" t="s">
        <v>576</v>
      </c>
    </row>
    <row r="217" customFormat="false" ht="15" hidden="false" customHeight="false" outlineLevel="0" collapsed="false">
      <c r="A217" s="13" t="n">
        <v>216</v>
      </c>
      <c r="B217" s="13" t="s">
        <v>867</v>
      </c>
      <c r="C217" s="6" t="n">
        <v>0</v>
      </c>
      <c r="D217" s="6" t="n">
        <v>1</v>
      </c>
      <c r="E217" s="6" t="n">
        <v>1</v>
      </c>
      <c r="F217" s="6" t="n">
        <v>0</v>
      </c>
      <c r="G217" s="6" t="n">
        <v>0</v>
      </c>
      <c r="H217" s="6" t="n">
        <v>0</v>
      </c>
      <c r="I217" s="6" t="n">
        <v>0</v>
      </c>
      <c r="J217" s="6" t="n">
        <v>0</v>
      </c>
      <c r="K217" s="7" t="n">
        <f aca="false">IF(E217+F217=0,"",E217/(E217+F217))</f>
        <v>1</v>
      </c>
      <c r="L217" s="13" t="str">
        <f aca="false">IF(E217+I217&gt;0,"Yes","No")</f>
        <v>Yes</v>
      </c>
      <c r="M217" s="14" t="s">
        <v>868</v>
      </c>
    </row>
    <row r="218" customFormat="false" ht="15" hidden="false" customHeight="false" outlineLevel="0" collapsed="false">
      <c r="A218" s="9" t="n">
        <v>217</v>
      </c>
      <c r="B218" s="9" t="s">
        <v>359</v>
      </c>
      <c r="C218" s="10" t="n">
        <v>36</v>
      </c>
      <c r="D218" s="10" t="n">
        <v>31</v>
      </c>
      <c r="E218" s="10" t="n">
        <v>67</v>
      </c>
      <c r="F218" s="10" t="n">
        <v>0</v>
      </c>
      <c r="G218" s="10" t="n">
        <v>5</v>
      </c>
      <c r="H218" s="10" t="n">
        <v>11</v>
      </c>
      <c r="I218" s="10" t="n">
        <v>16</v>
      </c>
      <c r="J218" s="10" t="n">
        <v>0</v>
      </c>
      <c r="K218" s="11" t="n">
        <f aca="false">IF(E218+F218=0,"",E218/(E218+F218))</f>
        <v>1</v>
      </c>
      <c r="L218" s="9" t="str">
        <f aca="false">IF(E218+I218&gt;0,"Yes","No")</f>
        <v>Yes</v>
      </c>
      <c r="M218" s="12" t="s">
        <v>360</v>
      </c>
    </row>
    <row r="219" customFormat="false" ht="15" hidden="false" customHeight="false" outlineLevel="0" collapsed="false">
      <c r="A219" s="13" t="n">
        <v>218</v>
      </c>
      <c r="B219" s="13" t="s">
        <v>319</v>
      </c>
      <c r="C219" s="6" t="n">
        <v>31</v>
      </c>
      <c r="D219" s="6" t="n">
        <v>57</v>
      </c>
      <c r="E219" s="6" t="n">
        <v>88</v>
      </c>
      <c r="F219" s="6" t="n">
        <v>0</v>
      </c>
      <c r="G219" s="6" t="n">
        <v>15</v>
      </c>
      <c r="H219" s="6" t="n">
        <v>9</v>
      </c>
      <c r="I219" s="6" t="n">
        <v>24</v>
      </c>
      <c r="J219" s="6" t="n">
        <v>4</v>
      </c>
      <c r="K219" s="7" t="n">
        <f aca="false">IF(E219+F219=0,"",E219/(E219+F219))</f>
        <v>1</v>
      </c>
      <c r="L219" s="13" t="str">
        <f aca="false">IF(E219+I219&gt;0,"Yes","No")</f>
        <v>Yes</v>
      </c>
      <c r="M219" s="14" t="s">
        <v>320</v>
      </c>
    </row>
    <row r="220" customFormat="false" ht="15" hidden="false" customHeight="false" outlineLevel="0" collapsed="false">
      <c r="A220" s="9" t="n">
        <v>219</v>
      </c>
      <c r="B220" s="9" t="s">
        <v>77</v>
      </c>
      <c r="C220" s="10" t="n">
        <v>493</v>
      </c>
      <c r="D220" s="10" t="n">
        <v>426</v>
      </c>
      <c r="E220" s="10" t="n">
        <v>919</v>
      </c>
      <c r="F220" s="10" t="n">
        <v>3</v>
      </c>
      <c r="G220" s="10" t="n">
        <v>77</v>
      </c>
      <c r="H220" s="10" t="n">
        <v>55</v>
      </c>
      <c r="I220" s="10" t="n">
        <v>132</v>
      </c>
      <c r="J220" s="10" t="n">
        <v>1</v>
      </c>
      <c r="K220" s="11" t="n">
        <f aca="false">IF(E220+F220=0,"",E220/(E220+F220))</f>
        <v>0.996746203904555</v>
      </c>
      <c r="L220" s="9" t="str">
        <f aca="false">IF(E220+I220&gt;0,"Yes","No")</f>
        <v>Yes</v>
      </c>
      <c r="M220" s="12" t="s">
        <v>78</v>
      </c>
    </row>
    <row r="221" customFormat="false" ht="15" hidden="false" customHeight="false" outlineLevel="0" collapsed="false">
      <c r="A221" s="13" t="n">
        <v>220</v>
      </c>
      <c r="B221" s="13" t="s">
        <v>669</v>
      </c>
      <c r="C221" s="6" t="n">
        <v>3</v>
      </c>
      <c r="D221" s="6" t="n">
        <v>8</v>
      </c>
      <c r="E221" s="6" t="n">
        <v>11</v>
      </c>
      <c r="F221" s="6" t="n">
        <v>0</v>
      </c>
      <c r="G221" s="6" t="n">
        <v>0</v>
      </c>
      <c r="H221" s="6" t="n">
        <v>2</v>
      </c>
      <c r="I221" s="6" t="n">
        <v>2</v>
      </c>
      <c r="J221" s="6" t="n">
        <v>0</v>
      </c>
      <c r="K221" s="7" t="n">
        <f aca="false">IF(E221+F221=0,"",E221/(E221+F221))</f>
        <v>1</v>
      </c>
      <c r="L221" s="13" t="str">
        <f aca="false">IF(E221+I221&gt;0,"Yes","No")</f>
        <v>Yes</v>
      </c>
      <c r="M221" s="14" t="s">
        <v>670</v>
      </c>
    </row>
    <row r="222" customFormat="false" ht="15" hidden="false" customHeight="false" outlineLevel="0" collapsed="false">
      <c r="A222" s="9" t="n">
        <v>221</v>
      </c>
      <c r="B222" s="9" t="s">
        <v>899</v>
      </c>
      <c r="C222" s="10" t="n">
        <v>0</v>
      </c>
      <c r="D222" s="10" t="n">
        <v>0</v>
      </c>
      <c r="E222" s="10" t="n">
        <v>0</v>
      </c>
      <c r="F222" s="10" t="n">
        <v>0</v>
      </c>
      <c r="G222" s="10" t="n">
        <v>0</v>
      </c>
      <c r="H222" s="10" t="n">
        <v>0</v>
      </c>
      <c r="I222" s="10" t="n">
        <v>0</v>
      </c>
      <c r="J222" s="10" t="n">
        <v>0</v>
      </c>
      <c r="K222" s="11" t="str">
        <f aca="false">IF(E222+F222=0,"",E222/(E222+F222))</f>
        <v/>
      </c>
      <c r="L222" s="9" t="str">
        <f aca="false">IF(E222+I222&gt;0,"Yes","No")</f>
        <v>No</v>
      </c>
      <c r="M222" s="12"/>
    </row>
    <row r="223" customFormat="false" ht="15" hidden="false" customHeight="false" outlineLevel="0" collapsed="false">
      <c r="A223" s="13" t="n">
        <v>222</v>
      </c>
      <c r="B223" s="13" t="s">
        <v>805</v>
      </c>
      <c r="C223" s="6" t="n">
        <v>3</v>
      </c>
      <c r="D223" s="6" t="n">
        <v>0</v>
      </c>
      <c r="E223" s="6" t="n">
        <v>3</v>
      </c>
      <c r="F223" s="6" t="n">
        <v>0</v>
      </c>
      <c r="G223" s="6" t="n">
        <v>3</v>
      </c>
      <c r="H223" s="6" t="n">
        <v>0</v>
      </c>
      <c r="I223" s="6" t="n">
        <v>3</v>
      </c>
      <c r="J223" s="6" t="n">
        <v>0</v>
      </c>
      <c r="K223" s="7" t="n">
        <f aca="false">IF(E223+F223=0,"",E223/(E223+F223))</f>
        <v>1</v>
      </c>
      <c r="L223" s="13" t="str">
        <f aca="false">IF(E223+I223&gt;0,"Yes","No")</f>
        <v>Yes</v>
      </c>
      <c r="M223" s="14" t="s">
        <v>806</v>
      </c>
    </row>
    <row r="224" customFormat="false" ht="15" hidden="false" customHeight="false" outlineLevel="0" collapsed="false">
      <c r="A224" s="9" t="n">
        <v>223</v>
      </c>
      <c r="B224" s="9" t="s">
        <v>749</v>
      </c>
      <c r="C224" s="10" t="n">
        <v>3</v>
      </c>
      <c r="D224" s="10" t="n">
        <v>3</v>
      </c>
      <c r="E224" s="10" t="n">
        <v>6</v>
      </c>
      <c r="F224" s="10" t="n">
        <v>0</v>
      </c>
      <c r="G224" s="10" t="n">
        <v>0</v>
      </c>
      <c r="H224" s="10" t="n">
        <v>0</v>
      </c>
      <c r="I224" s="10" t="n">
        <v>0</v>
      </c>
      <c r="J224" s="10" t="n">
        <v>0</v>
      </c>
      <c r="K224" s="11" t="n">
        <f aca="false">IF(E224+F224=0,"",E224/(E224+F224))</f>
        <v>1</v>
      </c>
      <c r="L224" s="9" t="str">
        <f aca="false">IF(E224+I224&gt;0,"Yes","No")</f>
        <v>Yes</v>
      </c>
      <c r="M224" s="12" t="s">
        <v>750</v>
      </c>
    </row>
    <row r="225" customFormat="false" ht="15" hidden="false" customHeight="false" outlineLevel="0" collapsed="false">
      <c r="A225" s="13" t="n">
        <v>224</v>
      </c>
      <c r="B225" s="13" t="s">
        <v>501</v>
      </c>
      <c r="C225" s="6" t="n">
        <v>8</v>
      </c>
      <c r="D225" s="6" t="n">
        <v>20</v>
      </c>
      <c r="E225" s="6" t="n">
        <v>28</v>
      </c>
      <c r="F225" s="6" t="n">
        <v>0</v>
      </c>
      <c r="G225" s="6" t="n">
        <v>2</v>
      </c>
      <c r="H225" s="6" t="n">
        <v>2</v>
      </c>
      <c r="I225" s="6" t="n">
        <v>4</v>
      </c>
      <c r="J225" s="6" t="n">
        <v>0</v>
      </c>
      <c r="K225" s="7" t="n">
        <f aca="false">IF(E225+F225=0,"",E225/(E225+F225))</f>
        <v>1</v>
      </c>
      <c r="L225" s="13" t="str">
        <f aca="false">IF(E225+I225&gt;0,"Yes","No")</f>
        <v>Yes</v>
      </c>
      <c r="M225" s="14" t="s">
        <v>502</v>
      </c>
    </row>
    <row r="226" customFormat="false" ht="15" hidden="false" customHeight="false" outlineLevel="0" collapsed="false">
      <c r="A226" s="9" t="n">
        <v>225</v>
      </c>
      <c r="B226" s="9" t="s">
        <v>193</v>
      </c>
      <c r="C226" s="10" t="n">
        <v>129</v>
      </c>
      <c r="D226" s="10" t="n">
        <v>90</v>
      </c>
      <c r="E226" s="10" t="n">
        <v>219</v>
      </c>
      <c r="F226" s="10" t="n">
        <v>2</v>
      </c>
      <c r="G226" s="10" t="n">
        <v>31</v>
      </c>
      <c r="H226" s="10" t="n">
        <v>10</v>
      </c>
      <c r="I226" s="10" t="n">
        <v>41</v>
      </c>
      <c r="J226" s="10" t="n">
        <v>2</v>
      </c>
      <c r="K226" s="11" t="n">
        <f aca="false">IF(E226+F226=0,"",E226/(E226+F226))</f>
        <v>0.990950226244344</v>
      </c>
      <c r="L226" s="9" t="str">
        <f aca="false">IF(E226+I226&gt;0,"Yes","No")</f>
        <v>Yes</v>
      </c>
      <c r="M226" s="12" t="s">
        <v>194</v>
      </c>
    </row>
    <row r="227" customFormat="false" ht="15" hidden="false" customHeight="false" outlineLevel="0" collapsed="false">
      <c r="A227" s="13" t="n">
        <v>226</v>
      </c>
      <c r="B227" s="13" t="s">
        <v>489</v>
      </c>
      <c r="C227" s="6" t="n">
        <v>12</v>
      </c>
      <c r="D227" s="6" t="n">
        <v>18</v>
      </c>
      <c r="E227" s="6" t="n">
        <v>30</v>
      </c>
      <c r="F227" s="6" t="n">
        <v>0</v>
      </c>
      <c r="G227" s="6" t="n">
        <v>0</v>
      </c>
      <c r="H227" s="6" t="n">
        <v>0</v>
      </c>
      <c r="I227" s="6" t="n">
        <v>0</v>
      </c>
      <c r="J227" s="6" t="n">
        <v>0</v>
      </c>
      <c r="K227" s="7" t="n">
        <f aca="false">IF(E227+F227=0,"",E227/(E227+F227))</f>
        <v>1</v>
      </c>
      <c r="L227" s="13" t="str">
        <f aca="false">IF(E227+I227&gt;0,"Yes","No")</f>
        <v>Yes</v>
      </c>
      <c r="M227" s="14" t="s">
        <v>490</v>
      </c>
    </row>
    <row r="228" customFormat="false" ht="15" hidden="false" customHeight="false" outlineLevel="0" collapsed="false">
      <c r="A228" s="9" t="n">
        <v>227</v>
      </c>
      <c r="B228" s="9" t="s">
        <v>447</v>
      </c>
      <c r="C228" s="10" t="n">
        <v>11</v>
      </c>
      <c r="D228" s="10" t="n">
        <v>29</v>
      </c>
      <c r="E228" s="10" t="n">
        <v>40</v>
      </c>
      <c r="F228" s="10" t="n">
        <v>1</v>
      </c>
      <c r="G228" s="10" t="n">
        <v>2</v>
      </c>
      <c r="H228" s="10" t="n">
        <v>5</v>
      </c>
      <c r="I228" s="10" t="n">
        <v>7</v>
      </c>
      <c r="J228" s="10" t="n">
        <v>0</v>
      </c>
      <c r="K228" s="11" t="n">
        <f aca="false">IF(E228+F228=0,"",E228/(E228+F228))</f>
        <v>0.975609756097561</v>
      </c>
      <c r="L228" s="9" t="str">
        <f aca="false">IF(E228+I228&gt;0,"Yes","No")</f>
        <v>Yes</v>
      </c>
      <c r="M228" s="12" t="s">
        <v>448</v>
      </c>
    </row>
    <row r="229" customFormat="false" ht="15" hidden="false" customHeight="false" outlineLevel="0" collapsed="false">
      <c r="A229" s="13" t="n">
        <v>228</v>
      </c>
      <c r="B229" s="13" t="s">
        <v>811</v>
      </c>
      <c r="C229" s="6" t="n">
        <v>1</v>
      </c>
      <c r="D229" s="6" t="n">
        <v>2</v>
      </c>
      <c r="E229" s="6" t="n">
        <v>3</v>
      </c>
      <c r="F229" s="6" t="n">
        <v>0</v>
      </c>
      <c r="G229" s="6" t="n">
        <v>0</v>
      </c>
      <c r="H229" s="6" t="n">
        <v>0</v>
      </c>
      <c r="I229" s="6" t="n">
        <v>0</v>
      </c>
      <c r="J229" s="6" t="n">
        <v>0</v>
      </c>
      <c r="K229" s="7" t="n">
        <f aca="false">IF(E229+F229=0,"",E229/(E229+F229))</f>
        <v>1</v>
      </c>
      <c r="L229" s="13" t="str">
        <f aca="false">IF(E229+I229&gt;0,"Yes","No")</f>
        <v>Yes</v>
      </c>
      <c r="M229" s="14" t="s">
        <v>812</v>
      </c>
    </row>
    <row r="230" customFormat="false" ht="15" hidden="false" customHeight="false" outlineLevel="0" collapsed="false">
      <c r="A230" s="9" t="n">
        <v>229</v>
      </c>
      <c r="B230" s="9" t="s">
        <v>653</v>
      </c>
      <c r="C230" s="10" t="n">
        <v>9</v>
      </c>
      <c r="D230" s="10" t="n">
        <v>3</v>
      </c>
      <c r="E230" s="10" t="n">
        <v>12</v>
      </c>
      <c r="F230" s="10" t="n">
        <v>0</v>
      </c>
      <c r="G230" s="10" t="n">
        <v>2</v>
      </c>
      <c r="H230" s="10" t="n">
        <v>0</v>
      </c>
      <c r="I230" s="10" t="n">
        <v>2</v>
      </c>
      <c r="J230" s="10" t="n">
        <v>0</v>
      </c>
      <c r="K230" s="11" t="n">
        <f aca="false">IF(E230+F230=0,"",E230/(E230+F230))</f>
        <v>1</v>
      </c>
      <c r="L230" s="9" t="str">
        <f aca="false">IF(E230+I230&gt;0,"Yes","No")</f>
        <v>Yes</v>
      </c>
      <c r="M230" s="12" t="s">
        <v>654</v>
      </c>
    </row>
    <row r="231" customFormat="false" ht="15" hidden="false" customHeight="false" outlineLevel="0" collapsed="false">
      <c r="A231" s="13" t="n">
        <v>230</v>
      </c>
      <c r="B231" s="13" t="s">
        <v>813</v>
      </c>
      <c r="C231" s="6" t="n">
        <v>0</v>
      </c>
      <c r="D231" s="6" t="n">
        <v>3</v>
      </c>
      <c r="E231" s="6" t="n">
        <v>3</v>
      </c>
      <c r="F231" s="6" t="n">
        <v>0</v>
      </c>
      <c r="G231" s="6" t="n">
        <v>0</v>
      </c>
      <c r="H231" s="6" t="n">
        <v>0</v>
      </c>
      <c r="I231" s="6" t="n">
        <v>0</v>
      </c>
      <c r="J231" s="6" t="n">
        <v>0</v>
      </c>
      <c r="K231" s="7" t="n">
        <f aca="false">IF(E231+F231=0,"",E231/(E231+F231))</f>
        <v>1</v>
      </c>
      <c r="L231" s="13" t="str">
        <f aca="false">IF(E231+I231&gt;0,"Yes","No")</f>
        <v>Yes</v>
      </c>
      <c r="M231" s="14" t="s">
        <v>814</v>
      </c>
    </row>
    <row r="232" customFormat="false" ht="15" hidden="false" customHeight="false" outlineLevel="0" collapsed="false">
      <c r="A232" s="9" t="n">
        <v>231</v>
      </c>
      <c r="B232" s="9" t="s">
        <v>869</v>
      </c>
      <c r="C232" s="10" t="n">
        <v>1</v>
      </c>
      <c r="D232" s="10" t="n">
        <v>0</v>
      </c>
      <c r="E232" s="10" t="n">
        <v>1</v>
      </c>
      <c r="F232" s="10" t="n">
        <v>0</v>
      </c>
      <c r="G232" s="10" t="n">
        <v>0</v>
      </c>
      <c r="H232" s="10" t="n">
        <v>0</v>
      </c>
      <c r="I232" s="10" t="n">
        <v>0</v>
      </c>
      <c r="J232" s="10" t="n">
        <v>0</v>
      </c>
      <c r="K232" s="11" t="n">
        <f aca="false">IF(E232+F232=0,"",E232/(E232+F232))</f>
        <v>1</v>
      </c>
      <c r="L232" s="9" t="str">
        <f aca="false">IF(E232+I232&gt;0,"Yes","No")</f>
        <v>Yes</v>
      </c>
      <c r="M232" s="12" t="s">
        <v>870</v>
      </c>
    </row>
    <row r="233" customFormat="false" ht="15" hidden="false" customHeight="false" outlineLevel="0" collapsed="false">
      <c r="A233" s="13" t="n">
        <v>232</v>
      </c>
      <c r="B233" s="13" t="s">
        <v>309</v>
      </c>
      <c r="C233" s="6" t="n">
        <v>56</v>
      </c>
      <c r="D233" s="6" t="n">
        <v>41</v>
      </c>
      <c r="E233" s="6" t="n">
        <v>97</v>
      </c>
      <c r="F233" s="6" t="n">
        <v>1</v>
      </c>
      <c r="G233" s="6" t="n">
        <v>5</v>
      </c>
      <c r="H233" s="6" t="n">
        <v>5</v>
      </c>
      <c r="I233" s="6" t="n">
        <v>10</v>
      </c>
      <c r="J233" s="6" t="n">
        <v>0</v>
      </c>
      <c r="K233" s="7" t="n">
        <f aca="false">IF(E233+F233=0,"",E233/(E233+F233))</f>
        <v>0.989795918367347</v>
      </c>
      <c r="L233" s="13" t="str">
        <f aca="false">IF(E233+I233&gt;0,"Yes","No")</f>
        <v>Yes</v>
      </c>
      <c r="M233" s="14" t="s">
        <v>310</v>
      </c>
    </row>
    <row r="234" customFormat="false" ht="15" hidden="false" customHeight="false" outlineLevel="0" collapsed="false">
      <c r="A234" s="9" t="n">
        <v>233</v>
      </c>
      <c r="B234" s="9" t="s">
        <v>657</v>
      </c>
      <c r="C234" s="10" t="n">
        <v>7</v>
      </c>
      <c r="D234" s="10" t="n">
        <v>5</v>
      </c>
      <c r="E234" s="10" t="n">
        <v>12</v>
      </c>
      <c r="F234" s="10" t="n">
        <v>0</v>
      </c>
      <c r="G234" s="10" t="n">
        <v>0</v>
      </c>
      <c r="H234" s="10" t="n">
        <v>0</v>
      </c>
      <c r="I234" s="10" t="n">
        <v>0</v>
      </c>
      <c r="J234" s="10" t="n">
        <v>0</v>
      </c>
      <c r="K234" s="11" t="n">
        <f aca="false">IF(E234+F234=0,"",E234/(E234+F234))</f>
        <v>1</v>
      </c>
      <c r="L234" s="9" t="str">
        <f aca="false">IF(E234+I234&gt;0,"Yes","No")</f>
        <v>Yes</v>
      </c>
      <c r="M234" s="12" t="s">
        <v>658</v>
      </c>
    </row>
    <row r="235" customFormat="false" ht="15" hidden="false" customHeight="false" outlineLevel="0" collapsed="false">
      <c r="A235" s="13" t="n">
        <v>234</v>
      </c>
      <c r="B235" s="13" t="s">
        <v>595</v>
      </c>
      <c r="C235" s="6" t="n">
        <v>6</v>
      </c>
      <c r="D235" s="6" t="n">
        <v>10</v>
      </c>
      <c r="E235" s="6" t="n">
        <v>16</v>
      </c>
      <c r="F235" s="6" t="n">
        <v>0</v>
      </c>
      <c r="G235" s="6" t="n">
        <v>6</v>
      </c>
      <c r="H235" s="6" t="n">
        <v>1</v>
      </c>
      <c r="I235" s="6" t="n">
        <v>7</v>
      </c>
      <c r="J235" s="6" t="n">
        <v>0</v>
      </c>
      <c r="K235" s="7" t="n">
        <f aca="false">IF(E235+F235=0,"",E235/(E235+F235))</f>
        <v>1</v>
      </c>
      <c r="L235" s="13" t="str">
        <f aca="false">IF(E235+I235&gt;0,"Yes","No")</f>
        <v>Yes</v>
      </c>
      <c r="M235" s="14" t="s">
        <v>596</v>
      </c>
    </row>
    <row r="236" customFormat="false" ht="15" hidden="false" customHeight="false" outlineLevel="0" collapsed="false">
      <c r="A236" s="9" t="n">
        <v>235</v>
      </c>
      <c r="B236" s="9" t="s">
        <v>263</v>
      </c>
      <c r="C236" s="10" t="n">
        <v>65</v>
      </c>
      <c r="D236" s="10" t="n">
        <v>57</v>
      </c>
      <c r="E236" s="10" t="n">
        <v>122</v>
      </c>
      <c r="F236" s="10" t="n">
        <v>0</v>
      </c>
      <c r="G236" s="10" t="n">
        <v>39</v>
      </c>
      <c r="H236" s="10" t="n">
        <v>13</v>
      </c>
      <c r="I236" s="10" t="n">
        <v>52</v>
      </c>
      <c r="J236" s="10" t="n">
        <v>1</v>
      </c>
      <c r="K236" s="11" t="n">
        <f aca="false">IF(E236+F236=0,"",E236/(E236+F236))</f>
        <v>1</v>
      </c>
      <c r="L236" s="9" t="str">
        <f aca="false">IF(E236+I236&gt;0,"Yes","No")</f>
        <v>Yes</v>
      </c>
      <c r="M236" s="12" t="s">
        <v>264</v>
      </c>
    </row>
    <row r="237" customFormat="false" ht="15" hidden="false" customHeight="false" outlineLevel="0" collapsed="false">
      <c r="A237" s="13" t="n">
        <v>236</v>
      </c>
      <c r="B237" s="13" t="s">
        <v>401</v>
      </c>
      <c r="C237" s="6" t="n">
        <v>10</v>
      </c>
      <c r="D237" s="6" t="n">
        <v>38</v>
      </c>
      <c r="E237" s="6" t="n">
        <v>48</v>
      </c>
      <c r="F237" s="6" t="n">
        <v>0</v>
      </c>
      <c r="G237" s="6" t="n">
        <v>0</v>
      </c>
      <c r="H237" s="6" t="n">
        <v>3</v>
      </c>
      <c r="I237" s="6" t="n">
        <v>3</v>
      </c>
      <c r="J237" s="6" t="n">
        <v>0</v>
      </c>
      <c r="K237" s="7" t="n">
        <f aca="false">IF(E237+F237=0,"",E237/(E237+F237))</f>
        <v>1</v>
      </c>
      <c r="L237" s="13" t="str">
        <f aca="false">IF(E237+I237&gt;0,"Yes","No")</f>
        <v>Yes</v>
      </c>
      <c r="M237" s="14" t="s">
        <v>402</v>
      </c>
    </row>
    <row r="238" customFormat="false" ht="15" hidden="false" customHeight="false" outlineLevel="0" collapsed="false">
      <c r="A238" s="9" t="n">
        <v>237</v>
      </c>
      <c r="B238" s="9" t="s">
        <v>397</v>
      </c>
      <c r="C238" s="10" t="n">
        <v>32</v>
      </c>
      <c r="D238" s="10" t="n">
        <v>19</v>
      </c>
      <c r="E238" s="10" t="n">
        <v>51</v>
      </c>
      <c r="F238" s="10" t="n">
        <v>2</v>
      </c>
      <c r="G238" s="10" t="n">
        <v>3</v>
      </c>
      <c r="H238" s="10" t="n">
        <v>1</v>
      </c>
      <c r="I238" s="10" t="n">
        <v>4</v>
      </c>
      <c r="J238" s="10" t="n">
        <v>0</v>
      </c>
      <c r="K238" s="11" t="n">
        <f aca="false">IF(E238+F238=0,"",E238/(E238+F238))</f>
        <v>0.962264150943396</v>
      </c>
      <c r="L238" s="9" t="str">
        <f aca="false">IF(E238+I238&gt;0,"Yes","No")</f>
        <v>Yes</v>
      </c>
      <c r="M238" s="12" t="s">
        <v>398</v>
      </c>
    </row>
    <row r="239" customFormat="false" ht="15" hidden="false" customHeight="false" outlineLevel="0" collapsed="false">
      <c r="A239" s="13" t="n">
        <v>238</v>
      </c>
      <c r="B239" s="13" t="s">
        <v>871</v>
      </c>
      <c r="C239" s="6" t="n">
        <v>1</v>
      </c>
      <c r="D239" s="6" t="n">
        <v>0</v>
      </c>
      <c r="E239" s="6" t="n">
        <v>1</v>
      </c>
      <c r="F239" s="6" t="n">
        <v>0</v>
      </c>
      <c r="G239" s="6" t="n">
        <v>0</v>
      </c>
      <c r="H239" s="6" t="n">
        <v>0</v>
      </c>
      <c r="I239" s="6" t="n">
        <v>0</v>
      </c>
      <c r="J239" s="6" t="n">
        <v>0</v>
      </c>
      <c r="K239" s="7" t="n">
        <f aca="false">IF(E239+F239=0,"",E239/(E239+F239))</f>
        <v>1</v>
      </c>
      <c r="L239" s="13" t="str">
        <f aca="false">IF(E239+I239&gt;0,"Yes","No")</f>
        <v>Yes</v>
      </c>
      <c r="M239" s="14" t="s">
        <v>872</v>
      </c>
    </row>
    <row r="240" customFormat="false" ht="15" hidden="false" customHeight="false" outlineLevel="0" collapsed="false">
      <c r="A240" s="9" t="n">
        <v>239</v>
      </c>
      <c r="B240" s="9" t="s">
        <v>815</v>
      </c>
      <c r="C240" s="10" t="n">
        <v>1</v>
      </c>
      <c r="D240" s="10" t="n">
        <v>2</v>
      </c>
      <c r="E240" s="10" t="n">
        <v>3</v>
      </c>
      <c r="F240" s="10" t="n">
        <v>0</v>
      </c>
      <c r="G240" s="10" t="n">
        <v>0</v>
      </c>
      <c r="H240" s="10" t="n">
        <v>0</v>
      </c>
      <c r="I240" s="10" t="n">
        <v>0</v>
      </c>
      <c r="J240" s="10" t="n">
        <v>0</v>
      </c>
      <c r="K240" s="11" t="n">
        <f aca="false">IF(E240+F240=0,"",E240/(E240+F240))</f>
        <v>1</v>
      </c>
      <c r="L240" s="9" t="str">
        <f aca="false">IF(E240+I240&gt;0,"Yes","No")</f>
        <v>Yes</v>
      </c>
      <c r="M240" s="12" t="s">
        <v>816</v>
      </c>
    </row>
    <row r="241" customFormat="false" ht="15" hidden="false" customHeight="false" outlineLevel="0" collapsed="false">
      <c r="A241" s="13" t="n">
        <v>240</v>
      </c>
      <c r="B241" s="13" t="s">
        <v>689</v>
      </c>
      <c r="C241" s="6" t="n">
        <v>5</v>
      </c>
      <c r="D241" s="6" t="n">
        <v>5</v>
      </c>
      <c r="E241" s="6" t="n">
        <v>10</v>
      </c>
      <c r="F241" s="6" t="n">
        <v>1</v>
      </c>
      <c r="G241" s="6" t="n">
        <v>0</v>
      </c>
      <c r="H241" s="6" t="n">
        <v>0</v>
      </c>
      <c r="I241" s="6" t="n">
        <v>0</v>
      </c>
      <c r="J241" s="6" t="n">
        <v>0</v>
      </c>
      <c r="K241" s="7" t="n">
        <f aca="false">IF(E241+F241=0,"",E241/(E241+F241))</f>
        <v>0.909090909090909</v>
      </c>
      <c r="L241" s="13" t="str">
        <f aca="false">IF(E241+I241&gt;0,"Yes","No")</f>
        <v>Yes</v>
      </c>
      <c r="M241" s="14" t="s">
        <v>690</v>
      </c>
    </row>
    <row r="242" customFormat="false" ht="15" hidden="false" customHeight="false" outlineLevel="0" collapsed="false">
      <c r="A242" s="9" t="n">
        <v>241</v>
      </c>
      <c r="B242" s="9" t="s">
        <v>651</v>
      </c>
      <c r="C242" s="10" t="n">
        <v>4</v>
      </c>
      <c r="D242" s="10" t="n">
        <v>8</v>
      </c>
      <c r="E242" s="10" t="n">
        <v>12</v>
      </c>
      <c r="F242" s="10" t="n">
        <v>0</v>
      </c>
      <c r="G242" s="10" t="n">
        <v>1</v>
      </c>
      <c r="H242" s="10" t="n">
        <v>2</v>
      </c>
      <c r="I242" s="10" t="n">
        <v>3</v>
      </c>
      <c r="J242" s="10" t="n">
        <v>0</v>
      </c>
      <c r="K242" s="11" t="n">
        <f aca="false">IF(E242+F242=0,"",E242/(E242+F242))</f>
        <v>1</v>
      </c>
      <c r="L242" s="9" t="str">
        <f aca="false">IF(E242+I242&gt;0,"Yes","No")</f>
        <v>Yes</v>
      </c>
      <c r="M242" s="12" t="s">
        <v>652</v>
      </c>
    </row>
    <row r="243" customFormat="false" ht="15" hidden="false" customHeight="false" outlineLevel="0" collapsed="false">
      <c r="A243" s="13" t="n">
        <v>242</v>
      </c>
      <c r="B243" s="13" t="s">
        <v>887</v>
      </c>
      <c r="C243" s="6" t="n">
        <v>0</v>
      </c>
      <c r="D243" s="6" t="n">
        <v>0</v>
      </c>
      <c r="E243" s="6" t="n">
        <v>0</v>
      </c>
      <c r="F243" s="6" t="n">
        <v>0</v>
      </c>
      <c r="G243" s="6" t="n">
        <v>1</v>
      </c>
      <c r="H243" s="6" t="n">
        <v>1</v>
      </c>
      <c r="I243" s="6" t="n">
        <v>2</v>
      </c>
      <c r="J243" s="6" t="n">
        <v>0</v>
      </c>
      <c r="K243" s="7" t="str">
        <f aca="false">IF(E243+F243=0,"",E243/(E243+F243))</f>
        <v/>
      </c>
      <c r="L243" s="13" t="str">
        <f aca="false">IF(E243+I243&gt;0,"Yes","No")</f>
        <v>Yes</v>
      </c>
      <c r="M243" s="14" t="s">
        <v>888</v>
      </c>
    </row>
    <row r="244" customFormat="false" ht="15" hidden="false" customHeight="false" outlineLevel="0" collapsed="false">
      <c r="A244" s="9" t="n">
        <v>243</v>
      </c>
      <c r="B244" s="9" t="s">
        <v>333</v>
      </c>
      <c r="C244" s="10" t="n">
        <v>43</v>
      </c>
      <c r="D244" s="10" t="n">
        <v>41</v>
      </c>
      <c r="E244" s="10" t="n">
        <v>84</v>
      </c>
      <c r="F244" s="10" t="n">
        <v>3</v>
      </c>
      <c r="G244" s="10" t="n">
        <v>6</v>
      </c>
      <c r="H244" s="10" t="n">
        <v>4</v>
      </c>
      <c r="I244" s="10" t="n">
        <v>10</v>
      </c>
      <c r="J244" s="10" t="n">
        <v>0</v>
      </c>
      <c r="K244" s="11" t="n">
        <f aca="false">IF(E244+F244=0,"",E244/(E244+F244))</f>
        <v>0.96551724137931</v>
      </c>
      <c r="L244" s="9" t="str">
        <f aca="false">IF(E244+I244&gt;0,"Yes","No")</f>
        <v>Yes</v>
      </c>
      <c r="M244" s="12" t="s">
        <v>334</v>
      </c>
    </row>
    <row r="245" customFormat="false" ht="15" hidden="false" customHeight="false" outlineLevel="0" collapsed="false">
      <c r="A245" s="13" t="n">
        <v>244</v>
      </c>
      <c r="B245" s="13" t="s">
        <v>721</v>
      </c>
      <c r="C245" s="6" t="n">
        <v>2</v>
      </c>
      <c r="D245" s="6" t="n">
        <v>6</v>
      </c>
      <c r="E245" s="6" t="n">
        <v>8</v>
      </c>
      <c r="F245" s="6" t="n">
        <v>0</v>
      </c>
      <c r="G245" s="6" t="n">
        <v>0</v>
      </c>
      <c r="H245" s="6" t="n">
        <v>0</v>
      </c>
      <c r="I245" s="6" t="n">
        <v>0</v>
      </c>
      <c r="J245" s="6" t="n">
        <v>0</v>
      </c>
      <c r="K245" s="7" t="n">
        <f aca="false">IF(E245+F245=0,"",E245/(E245+F245))</f>
        <v>1</v>
      </c>
      <c r="L245" s="13" t="str">
        <f aca="false">IF(E245+I245&gt;0,"Yes","No")</f>
        <v>Yes</v>
      </c>
      <c r="M245" s="14" t="s">
        <v>722</v>
      </c>
    </row>
    <row r="246" customFormat="false" ht="15" hidden="false" customHeight="false" outlineLevel="0" collapsed="false">
      <c r="A246" s="9" t="n">
        <v>245</v>
      </c>
      <c r="B246" s="9" t="s">
        <v>873</v>
      </c>
      <c r="C246" s="10" t="n">
        <v>1</v>
      </c>
      <c r="D246" s="10" t="n">
        <v>0</v>
      </c>
      <c r="E246" s="10" t="n">
        <v>1</v>
      </c>
      <c r="F246" s="10" t="n">
        <v>0</v>
      </c>
      <c r="G246" s="10" t="n">
        <v>0</v>
      </c>
      <c r="H246" s="10" t="n">
        <v>0</v>
      </c>
      <c r="I246" s="10" t="n">
        <v>0</v>
      </c>
      <c r="J246" s="10" t="n">
        <v>0</v>
      </c>
      <c r="K246" s="11" t="n">
        <f aca="false">IF(E246+F246=0,"",E246/(E246+F246))</f>
        <v>1</v>
      </c>
      <c r="L246" s="9" t="str">
        <f aca="false">IF(E246+I246&gt;0,"Yes","No")</f>
        <v>Yes</v>
      </c>
      <c r="M246" s="12" t="s">
        <v>874</v>
      </c>
    </row>
    <row r="247" customFormat="false" ht="15" hidden="false" customHeight="false" outlineLevel="0" collapsed="false">
      <c r="A247" s="13" t="n">
        <v>246</v>
      </c>
      <c r="B247" s="13" t="s">
        <v>900</v>
      </c>
      <c r="C247" s="6" t="n">
        <v>0</v>
      </c>
      <c r="D247" s="6" t="n">
        <v>0</v>
      </c>
      <c r="E247" s="6" t="n">
        <v>0</v>
      </c>
      <c r="F247" s="6" t="n">
        <v>0</v>
      </c>
      <c r="G247" s="6" t="n">
        <v>0</v>
      </c>
      <c r="H247" s="6" t="n">
        <v>0</v>
      </c>
      <c r="I247" s="6" t="n">
        <v>0</v>
      </c>
      <c r="J247" s="6" t="n">
        <v>0</v>
      </c>
      <c r="K247" s="7" t="str">
        <f aca="false">IF(E247+F247=0,"",E247/(E247+F247))</f>
        <v/>
      </c>
      <c r="L247" s="13" t="str">
        <f aca="false">IF(E247+I247&gt;0,"Yes","No")</f>
        <v>No</v>
      </c>
      <c r="M247" s="14"/>
    </row>
    <row r="248" customFormat="false" ht="15" hidden="false" customHeight="false" outlineLevel="0" collapsed="false">
      <c r="A248" s="9" t="n">
        <v>247</v>
      </c>
      <c r="B248" s="9" t="s">
        <v>301</v>
      </c>
      <c r="C248" s="10" t="n">
        <v>28</v>
      </c>
      <c r="D248" s="10" t="n">
        <v>74</v>
      </c>
      <c r="E248" s="10" t="n">
        <v>102</v>
      </c>
      <c r="F248" s="10" t="n">
        <v>0</v>
      </c>
      <c r="G248" s="10" t="n">
        <v>8</v>
      </c>
      <c r="H248" s="10" t="n">
        <v>6</v>
      </c>
      <c r="I248" s="10" t="n">
        <v>14</v>
      </c>
      <c r="J248" s="10" t="n">
        <v>0</v>
      </c>
      <c r="K248" s="11" t="n">
        <f aca="false">IF(E248+F248=0,"",E248/(E248+F248))</f>
        <v>1</v>
      </c>
      <c r="L248" s="9" t="str">
        <f aca="false">IF(E248+I248&gt;0,"Yes","No")</f>
        <v>Yes</v>
      </c>
      <c r="M248" s="12" t="s">
        <v>302</v>
      </c>
    </row>
    <row r="249" customFormat="false" ht="15" hidden="false" customHeight="false" outlineLevel="0" collapsed="false">
      <c r="A249" s="13" t="n">
        <v>248</v>
      </c>
      <c r="B249" s="13" t="s">
        <v>901</v>
      </c>
      <c r="C249" s="6" t="n">
        <v>0</v>
      </c>
      <c r="D249" s="6" t="n">
        <v>0</v>
      </c>
      <c r="E249" s="6" t="n">
        <v>0</v>
      </c>
      <c r="F249" s="6" t="n">
        <v>0</v>
      </c>
      <c r="G249" s="6" t="n">
        <v>0</v>
      </c>
      <c r="H249" s="6" t="n">
        <v>0</v>
      </c>
      <c r="I249" s="6" t="n">
        <v>0</v>
      </c>
      <c r="J249" s="6" t="n">
        <v>0</v>
      </c>
      <c r="K249" s="7" t="str">
        <f aca="false">IF(E249+F249=0,"",E249/(E249+F249))</f>
        <v/>
      </c>
      <c r="L249" s="13" t="str">
        <f aca="false">IF(E249+I249&gt;0,"Yes","No")</f>
        <v>No</v>
      </c>
      <c r="M249" s="14"/>
    </row>
    <row r="250" customFormat="false" ht="15" hidden="false" customHeight="false" outlineLevel="0" collapsed="false">
      <c r="A250" s="9" t="n">
        <v>249</v>
      </c>
      <c r="B250" s="9" t="s">
        <v>817</v>
      </c>
      <c r="C250" s="10" t="n">
        <v>2</v>
      </c>
      <c r="D250" s="10" t="n">
        <v>1</v>
      </c>
      <c r="E250" s="10" t="n">
        <v>3</v>
      </c>
      <c r="F250" s="10" t="n">
        <v>0</v>
      </c>
      <c r="G250" s="10" t="n">
        <v>0</v>
      </c>
      <c r="H250" s="10" t="n">
        <v>0</v>
      </c>
      <c r="I250" s="10" t="n">
        <v>0</v>
      </c>
      <c r="J250" s="10" t="n">
        <v>0</v>
      </c>
      <c r="K250" s="11" t="n">
        <f aca="false">IF(E250+F250=0,"",E250/(E250+F250))</f>
        <v>1</v>
      </c>
      <c r="L250" s="9" t="str">
        <f aca="false">IF(E250+I250&gt;0,"Yes","No")</f>
        <v>Yes</v>
      </c>
      <c r="M250" s="12" t="s">
        <v>818</v>
      </c>
    </row>
    <row r="251" customFormat="false" ht="15" hidden="false" customHeight="false" outlineLevel="0" collapsed="false">
      <c r="A251" s="13" t="n">
        <v>250</v>
      </c>
      <c r="B251" s="13" t="s">
        <v>819</v>
      </c>
      <c r="C251" s="6" t="n">
        <v>1</v>
      </c>
      <c r="D251" s="6" t="n">
        <v>2</v>
      </c>
      <c r="E251" s="6" t="n">
        <v>3</v>
      </c>
      <c r="F251" s="6" t="n">
        <v>0</v>
      </c>
      <c r="G251" s="6" t="n">
        <v>0</v>
      </c>
      <c r="H251" s="6" t="n">
        <v>0</v>
      </c>
      <c r="I251" s="6" t="n">
        <v>0</v>
      </c>
      <c r="J251" s="6" t="n">
        <v>0</v>
      </c>
      <c r="K251" s="7" t="n">
        <f aca="false">IF(E251+F251=0,"",E251/(E251+F251))</f>
        <v>1</v>
      </c>
      <c r="L251" s="13" t="str">
        <f aca="false">IF(E251+I251&gt;0,"Yes","No")</f>
        <v>Yes</v>
      </c>
      <c r="M251" s="14" t="s">
        <v>820</v>
      </c>
    </row>
    <row r="252" customFormat="false" ht="15" hidden="false" customHeight="false" outlineLevel="0" collapsed="false">
      <c r="A252" s="9" t="n">
        <v>251</v>
      </c>
      <c r="B252" s="9" t="s">
        <v>833</v>
      </c>
      <c r="C252" s="10" t="n">
        <v>0</v>
      </c>
      <c r="D252" s="10" t="n">
        <v>2</v>
      </c>
      <c r="E252" s="10" t="n">
        <v>2</v>
      </c>
      <c r="F252" s="10" t="n">
        <v>0</v>
      </c>
      <c r="G252" s="10" t="n">
        <v>0</v>
      </c>
      <c r="H252" s="10" t="n">
        <v>1</v>
      </c>
      <c r="I252" s="10" t="n">
        <v>1</v>
      </c>
      <c r="J252" s="10" t="n">
        <v>0</v>
      </c>
      <c r="K252" s="11" t="n">
        <f aca="false">IF(E252+F252=0,"",E252/(E252+F252))</f>
        <v>1</v>
      </c>
      <c r="L252" s="9" t="str">
        <f aca="false">IF(E252+I252&gt;0,"Yes","No")</f>
        <v>Yes</v>
      </c>
      <c r="M252" s="12" t="s">
        <v>834</v>
      </c>
    </row>
    <row r="253" customFormat="false" ht="15" hidden="false" customHeight="false" outlineLevel="0" collapsed="false">
      <c r="A253" s="13" t="n">
        <v>252</v>
      </c>
      <c r="B253" s="13" t="s">
        <v>633</v>
      </c>
      <c r="C253" s="6" t="n">
        <v>6</v>
      </c>
      <c r="D253" s="6" t="n">
        <v>8</v>
      </c>
      <c r="E253" s="6" t="n">
        <v>14</v>
      </c>
      <c r="F253" s="6" t="n">
        <v>0</v>
      </c>
      <c r="G253" s="6" t="n">
        <v>0</v>
      </c>
      <c r="H253" s="6" t="n">
        <v>0</v>
      </c>
      <c r="I253" s="6" t="n">
        <v>0</v>
      </c>
      <c r="J253" s="6" t="n">
        <v>0</v>
      </c>
      <c r="K253" s="7" t="n">
        <f aca="false">IF(E253+F253=0,"",E253/(E253+F253))</f>
        <v>1</v>
      </c>
      <c r="L253" s="13" t="str">
        <f aca="false">IF(E253+I253&gt;0,"Yes","No")</f>
        <v>Yes</v>
      </c>
      <c r="M253" s="14" t="s">
        <v>634</v>
      </c>
    </row>
    <row r="254" customFormat="false" ht="15" hidden="false" customHeight="false" outlineLevel="0" collapsed="false">
      <c r="A254" s="9" t="n">
        <v>253</v>
      </c>
      <c r="B254" s="9" t="s">
        <v>875</v>
      </c>
      <c r="C254" s="10" t="n">
        <v>0</v>
      </c>
      <c r="D254" s="10" t="n">
        <v>1</v>
      </c>
      <c r="E254" s="10" t="n">
        <v>1</v>
      </c>
      <c r="F254" s="10" t="n">
        <v>0</v>
      </c>
      <c r="G254" s="10" t="n">
        <v>0</v>
      </c>
      <c r="H254" s="10" t="n">
        <v>0</v>
      </c>
      <c r="I254" s="10" t="n">
        <v>0</v>
      </c>
      <c r="J254" s="10" t="n">
        <v>0</v>
      </c>
      <c r="K254" s="11" t="n">
        <f aca="false">IF(E254+F254=0,"",E254/(E254+F254))</f>
        <v>1</v>
      </c>
      <c r="L254" s="9" t="str">
        <f aca="false">IF(E254+I254&gt;0,"Yes","No")</f>
        <v>Yes</v>
      </c>
      <c r="M254" s="12" t="s">
        <v>876</v>
      </c>
    </row>
    <row r="255" customFormat="false" ht="15" hidden="false" customHeight="false" outlineLevel="0" collapsed="false">
      <c r="A255" s="13" t="n">
        <v>254</v>
      </c>
      <c r="B255" s="13" t="s">
        <v>477</v>
      </c>
      <c r="C255" s="6" t="n">
        <v>27</v>
      </c>
      <c r="D255" s="6" t="n">
        <v>6</v>
      </c>
      <c r="E255" s="6" t="n">
        <v>33</v>
      </c>
      <c r="F255" s="6" t="n">
        <v>0</v>
      </c>
      <c r="G255" s="6" t="n">
        <v>0</v>
      </c>
      <c r="H255" s="6" t="n">
        <v>1</v>
      </c>
      <c r="I255" s="6" t="n">
        <v>1</v>
      </c>
      <c r="J255" s="6" t="n">
        <v>1</v>
      </c>
      <c r="K255" s="7" t="n">
        <f aca="false">IF(E255+F255=0,"",E255/(E255+F255))</f>
        <v>1</v>
      </c>
      <c r="L255" s="13" t="str">
        <f aca="false">IF(E255+I255&gt;0,"Yes","No")</f>
        <v>Yes</v>
      </c>
      <c r="M255" s="14" t="s">
        <v>478</v>
      </c>
    </row>
    <row r="256" customFormat="false" ht="15" hidden="false" customHeight="false" outlineLevel="0" collapsed="false">
      <c r="A256" s="9" t="n">
        <v>255</v>
      </c>
      <c r="B256" s="9" t="s">
        <v>205</v>
      </c>
      <c r="C256" s="10" t="n">
        <v>76</v>
      </c>
      <c r="D256" s="10" t="n">
        <v>124</v>
      </c>
      <c r="E256" s="10" t="n">
        <v>200</v>
      </c>
      <c r="F256" s="10" t="n">
        <v>5</v>
      </c>
      <c r="G256" s="10" t="n">
        <v>18</v>
      </c>
      <c r="H256" s="10" t="n">
        <v>24</v>
      </c>
      <c r="I256" s="10" t="n">
        <v>42</v>
      </c>
      <c r="J256" s="10" t="n">
        <v>0</v>
      </c>
      <c r="K256" s="11" t="n">
        <f aca="false">IF(E256+F256=0,"",E256/(E256+F256))</f>
        <v>0.975609756097561</v>
      </c>
      <c r="L256" s="9" t="str">
        <f aca="false">IF(E256+I256&gt;0,"Yes","No")</f>
        <v>Yes</v>
      </c>
      <c r="M256" s="12" t="s">
        <v>206</v>
      </c>
    </row>
    <row r="257" customFormat="false" ht="15" hidden="false" customHeight="false" outlineLevel="0" collapsed="false">
      <c r="A257" s="13" t="n">
        <v>256</v>
      </c>
      <c r="B257" s="13" t="s">
        <v>705</v>
      </c>
      <c r="C257" s="6" t="n">
        <v>4</v>
      </c>
      <c r="D257" s="6" t="n">
        <v>5</v>
      </c>
      <c r="E257" s="6" t="n">
        <v>9</v>
      </c>
      <c r="F257" s="6" t="n">
        <v>0</v>
      </c>
      <c r="G257" s="6" t="n">
        <v>0</v>
      </c>
      <c r="H257" s="6" t="n">
        <v>0</v>
      </c>
      <c r="I257" s="6" t="n">
        <v>0</v>
      </c>
      <c r="J257" s="6" t="n">
        <v>0</v>
      </c>
      <c r="K257" s="7" t="n">
        <f aca="false">IF(E257+F257=0,"",E257/(E257+F257))</f>
        <v>1</v>
      </c>
      <c r="L257" s="13" t="str">
        <f aca="false">IF(E257+I257&gt;0,"Yes","No")</f>
        <v>Yes</v>
      </c>
      <c r="M257" s="14" t="s">
        <v>706</v>
      </c>
    </row>
    <row r="258" customFormat="false" ht="15" hidden="false" customHeight="false" outlineLevel="0" collapsed="false">
      <c r="A258" s="9" t="n">
        <v>257</v>
      </c>
      <c r="B258" s="9" t="s">
        <v>221</v>
      </c>
      <c r="C258" s="10" t="n">
        <v>119</v>
      </c>
      <c r="D258" s="10" t="n">
        <v>54</v>
      </c>
      <c r="E258" s="10" t="n">
        <v>173</v>
      </c>
      <c r="F258" s="10" t="n">
        <v>0</v>
      </c>
      <c r="G258" s="10" t="n">
        <v>49</v>
      </c>
      <c r="H258" s="10" t="n">
        <v>11</v>
      </c>
      <c r="I258" s="10" t="n">
        <v>60</v>
      </c>
      <c r="J258" s="10" t="n">
        <v>1</v>
      </c>
      <c r="K258" s="11" t="n">
        <f aca="false">IF(E258+F258=0,"",E258/(E258+F258))</f>
        <v>1</v>
      </c>
      <c r="L258" s="9" t="str">
        <f aca="false">IF(E258+I258&gt;0,"Yes","No")</f>
        <v>Yes</v>
      </c>
      <c r="M258" s="12" t="s">
        <v>222</v>
      </c>
    </row>
    <row r="259" customFormat="false" ht="15" hidden="false" customHeight="false" outlineLevel="0" collapsed="false">
      <c r="A259" s="13" t="n">
        <v>258</v>
      </c>
      <c r="B259" s="13" t="s">
        <v>703</v>
      </c>
      <c r="C259" s="6" t="n">
        <v>6</v>
      </c>
      <c r="D259" s="6" t="n">
        <v>3</v>
      </c>
      <c r="E259" s="6" t="n">
        <v>9</v>
      </c>
      <c r="F259" s="6" t="n">
        <v>0</v>
      </c>
      <c r="G259" s="6" t="n">
        <v>1</v>
      </c>
      <c r="H259" s="6" t="n">
        <v>0</v>
      </c>
      <c r="I259" s="6" t="n">
        <v>1</v>
      </c>
      <c r="J259" s="6" t="n">
        <v>0</v>
      </c>
      <c r="K259" s="7" t="n">
        <f aca="false">IF(E259+F259=0,"",E259/(E259+F259))</f>
        <v>1</v>
      </c>
      <c r="L259" s="13" t="str">
        <f aca="false">IF(E259+I259&gt;0,"Yes","No")</f>
        <v>Yes</v>
      </c>
      <c r="M259" s="14" t="s">
        <v>704</v>
      </c>
    </row>
    <row r="260" customFormat="false" ht="15" hidden="false" customHeight="false" outlineLevel="0" collapsed="false">
      <c r="A260" s="9" t="n">
        <v>259</v>
      </c>
      <c r="B260" s="9" t="s">
        <v>605</v>
      </c>
      <c r="C260" s="10" t="n">
        <v>14</v>
      </c>
      <c r="D260" s="10" t="n">
        <v>2</v>
      </c>
      <c r="E260" s="10" t="n">
        <v>16</v>
      </c>
      <c r="F260" s="10" t="n">
        <v>0</v>
      </c>
      <c r="G260" s="10" t="n">
        <v>2</v>
      </c>
      <c r="H260" s="10" t="n">
        <v>0</v>
      </c>
      <c r="I260" s="10" t="n">
        <v>2</v>
      </c>
      <c r="J260" s="10" t="n">
        <v>0</v>
      </c>
      <c r="K260" s="11" t="n">
        <f aca="false">IF(E260+F260=0,"",E260/(E260+F260))</f>
        <v>1</v>
      </c>
      <c r="L260" s="9" t="str">
        <f aca="false">IF(E260+I260&gt;0,"Yes","No")</f>
        <v>Yes</v>
      </c>
      <c r="M260" s="12" t="s">
        <v>606</v>
      </c>
    </row>
    <row r="261" customFormat="false" ht="15" hidden="false" customHeight="false" outlineLevel="0" collapsed="false">
      <c r="A261" s="13" t="n">
        <v>260</v>
      </c>
      <c r="B261" s="13" t="s">
        <v>687</v>
      </c>
      <c r="C261" s="6" t="n">
        <v>3</v>
      </c>
      <c r="D261" s="6" t="n">
        <v>7</v>
      </c>
      <c r="E261" s="6" t="n">
        <v>10</v>
      </c>
      <c r="F261" s="6" t="n">
        <v>0</v>
      </c>
      <c r="G261" s="6" t="n">
        <v>1</v>
      </c>
      <c r="H261" s="6" t="n">
        <v>0</v>
      </c>
      <c r="I261" s="6" t="n">
        <v>1</v>
      </c>
      <c r="J261" s="6" t="n">
        <v>0</v>
      </c>
      <c r="K261" s="7" t="n">
        <f aca="false">IF(E261+F261=0,"",E261/(E261+F261))</f>
        <v>1</v>
      </c>
      <c r="L261" s="13" t="str">
        <f aca="false">IF(E261+I261&gt;0,"Yes","No")</f>
        <v>Yes</v>
      </c>
      <c r="M261" s="14" t="s">
        <v>688</v>
      </c>
    </row>
    <row r="262" customFormat="false" ht="15" hidden="false" customHeight="false" outlineLevel="0" collapsed="false">
      <c r="A262" s="9" t="n">
        <v>261</v>
      </c>
      <c r="B262" s="9" t="s">
        <v>495</v>
      </c>
      <c r="C262" s="10" t="n">
        <v>23</v>
      </c>
      <c r="D262" s="10" t="n">
        <v>5</v>
      </c>
      <c r="E262" s="10" t="n">
        <v>28</v>
      </c>
      <c r="F262" s="10" t="n">
        <v>0</v>
      </c>
      <c r="G262" s="10" t="n">
        <v>4</v>
      </c>
      <c r="H262" s="10" t="n">
        <v>4</v>
      </c>
      <c r="I262" s="10" t="n">
        <v>8</v>
      </c>
      <c r="J262" s="10" t="n">
        <v>0</v>
      </c>
      <c r="K262" s="11" t="n">
        <f aca="false">IF(E262+F262=0,"",E262/(E262+F262))</f>
        <v>1</v>
      </c>
      <c r="L262" s="9" t="str">
        <f aca="false">IF(E262+I262&gt;0,"Yes","No")</f>
        <v>Yes</v>
      </c>
      <c r="M262" s="12" t="s">
        <v>496</v>
      </c>
    </row>
    <row r="263" customFormat="false" ht="15" hidden="false" customHeight="false" outlineLevel="0" collapsed="false">
      <c r="A263" s="13" t="n">
        <v>262</v>
      </c>
      <c r="B263" s="13" t="s">
        <v>449</v>
      </c>
      <c r="C263" s="6" t="n">
        <v>26</v>
      </c>
      <c r="D263" s="6" t="n">
        <v>14</v>
      </c>
      <c r="E263" s="6" t="n">
        <v>40</v>
      </c>
      <c r="F263" s="6" t="n">
        <v>1</v>
      </c>
      <c r="G263" s="6" t="n">
        <v>4</v>
      </c>
      <c r="H263" s="6" t="n">
        <v>1</v>
      </c>
      <c r="I263" s="6" t="n">
        <v>5</v>
      </c>
      <c r="J263" s="6" t="n">
        <v>1</v>
      </c>
      <c r="K263" s="7" t="n">
        <f aca="false">IF(E263+F263=0,"",E263/(E263+F263))</f>
        <v>0.975609756097561</v>
      </c>
      <c r="L263" s="13" t="str">
        <f aca="false">IF(E263+I263&gt;0,"Yes","No")</f>
        <v>Yes</v>
      </c>
      <c r="M263" s="14" t="s">
        <v>450</v>
      </c>
    </row>
    <row r="264" customFormat="false" ht="15" hidden="false" customHeight="false" outlineLevel="0" collapsed="false">
      <c r="A264" s="9" t="n">
        <v>263</v>
      </c>
      <c r="B264" s="9" t="s">
        <v>841</v>
      </c>
      <c r="C264" s="10" t="n">
        <v>1</v>
      </c>
      <c r="D264" s="10" t="n">
        <v>1</v>
      </c>
      <c r="E264" s="10" t="n">
        <v>2</v>
      </c>
      <c r="F264" s="10" t="n">
        <v>0</v>
      </c>
      <c r="G264" s="10" t="n">
        <v>0</v>
      </c>
      <c r="H264" s="10" t="n">
        <v>0</v>
      </c>
      <c r="I264" s="10" t="n">
        <v>0</v>
      </c>
      <c r="J264" s="10" t="n">
        <v>0</v>
      </c>
      <c r="K264" s="11" t="n">
        <f aca="false">IF(E264+F264=0,"",E264/(E264+F264))</f>
        <v>1</v>
      </c>
      <c r="L264" s="9" t="str">
        <f aca="false">IF(E264+I264&gt;0,"Yes","No")</f>
        <v>Yes</v>
      </c>
      <c r="M264" s="12" t="s">
        <v>842</v>
      </c>
    </row>
    <row r="265" customFormat="false" ht="15" hidden="false" customHeight="false" outlineLevel="0" collapsed="false">
      <c r="A265" s="13" t="n">
        <v>264</v>
      </c>
      <c r="B265" s="13" t="s">
        <v>303</v>
      </c>
      <c r="C265" s="6" t="n">
        <v>64</v>
      </c>
      <c r="D265" s="6" t="n">
        <v>36</v>
      </c>
      <c r="E265" s="6" t="n">
        <v>100</v>
      </c>
      <c r="F265" s="6" t="n">
        <v>1</v>
      </c>
      <c r="G265" s="6" t="n">
        <v>7</v>
      </c>
      <c r="H265" s="6" t="n">
        <v>13</v>
      </c>
      <c r="I265" s="6" t="n">
        <v>20</v>
      </c>
      <c r="J265" s="6" t="n">
        <v>0</v>
      </c>
      <c r="K265" s="7" t="n">
        <f aca="false">IF(E265+F265=0,"",E265/(E265+F265))</f>
        <v>0.99009900990099</v>
      </c>
      <c r="L265" s="13" t="str">
        <f aca="false">IF(E265+I265&gt;0,"Yes","No")</f>
        <v>Yes</v>
      </c>
      <c r="M265" s="14" t="s">
        <v>304</v>
      </c>
    </row>
    <row r="266" customFormat="false" ht="15" hidden="false" customHeight="false" outlineLevel="0" collapsed="false">
      <c r="A266" s="9" t="n">
        <v>265</v>
      </c>
      <c r="B266" s="9" t="s">
        <v>541</v>
      </c>
      <c r="C266" s="10" t="n">
        <v>12</v>
      </c>
      <c r="D266" s="10" t="n">
        <v>11</v>
      </c>
      <c r="E266" s="10" t="n">
        <v>23</v>
      </c>
      <c r="F266" s="10" t="n">
        <v>1</v>
      </c>
      <c r="G266" s="10" t="n">
        <v>3</v>
      </c>
      <c r="H266" s="10" t="n">
        <v>1</v>
      </c>
      <c r="I266" s="10" t="n">
        <v>4</v>
      </c>
      <c r="J266" s="10" t="n">
        <v>0</v>
      </c>
      <c r="K266" s="11" t="n">
        <f aca="false">IF(E266+F266=0,"",E266/(E266+F266))</f>
        <v>0.958333333333333</v>
      </c>
      <c r="L266" s="9" t="str">
        <f aca="false">IF(E266+I266&gt;0,"Yes","No")</f>
        <v>Yes</v>
      </c>
      <c r="M266" s="12" t="s">
        <v>542</v>
      </c>
    </row>
    <row r="267" customFormat="false" ht="15" hidden="false" customHeight="false" outlineLevel="0" collapsed="false">
      <c r="A267" s="13" t="n">
        <v>266</v>
      </c>
      <c r="B267" s="13" t="s">
        <v>587</v>
      </c>
      <c r="C267" s="6" t="n">
        <v>17</v>
      </c>
      <c r="D267" s="6" t="n">
        <v>0</v>
      </c>
      <c r="E267" s="6" t="n">
        <v>17</v>
      </c>
      <c r="F267" s="6" t="n">
        <v>0</v>
      </c>
      <c r="G267" s="6" t="n">
        <v>2</v>
      </c>
      <c r="H267" s="6" t="n">
        <v>1</v>
      </c>
      <c r="I267" s="6" t="n">
        <v>3</v>
      </c>
      <c r="J267" s="6" t="n">
        <v>0</v>
      </c>
      <c r="K267" s="7" t="n">
        <f aca="false">IF(E267+F267=0,"",E267/(E267+F267))</f>
        <v>1</v>
      </c>
      <c r="L267" s="13" t="str">
        <f aca="false">IF(E267+I267&gt;0,"Yes","No")</f>
        <v>Yes</v>
      </c>
      <c r="M267" s="14" t="s">
        <v>588</v>
      </c>
    </row>
    <row r="268" customFormat="false" ht="15" hidden="false" customHeight="false" outlineLevel="0" collapsed="false">
      <c r="A268" s="9" t="n">
        <v>267</v>
      </c>
      <c r="B268" s="9" t="s">
        <v>335</v>
      </c>
      <c r="C268" s="10" t="n">
        <v>26</v>
      </c>
      <c r="D268" s="10" t="n">
        <v>55</v>
      </c>
      <c r="E268" s="10" t="n">
        <v>81</v>
      </c>
      <c r="F268" s="10" t="n">
        <v>0</v>
      </c>
      <c r="G268" s="10" t="n">
        <v>4</v>
      </c>
      <c r="H268" s="10" t="n">
        <v>3</v>
      </c>
      <c r="I268" s="10" t="n">
        <v>7</v>
      </c>
      <c r="J268" s="10" t="n">
        <v>0</v>
      </c>
      <c r="K268" s="11" t="n">
        <f aca="false">IF(E268+F268=0,"",E268/(E268+F268))</f>
        <v>1</v>
      </c>
      <c r="L268" s="9" t="str">
        <f aca="false">IF(E268+I268&gt;0,"Yes","No")</f>
        <v>Yes</v>
      </c>
      <c r="M268" s="12" t="s">
        <v>336</v>
      </c>
    </row>
    <row r="269" customFormat="false" ht="15" hidden="false" customHeight="false" outlineLevel="0" collapsed="false">
      <c r="A269" s="13" t="n">
        <v>268</v>
      </c>
      <c r="B269" s="13" t="s">
        <v>902</v>
      </c>
      <c r="C269" s="6" t="n">
        <v>0</v>
      </c>
      <c r="D269" s="6" t="n">
        <v>0</v>
      </c>
      <c r="E269" s="6" t="n">
        <v>0</v>
      </c>
      <c r="F269" s="6" t="n">
        <v>0</v>
      </c>
      <c r="G269" s="6" t="n">
        <v>0</v>
      </c>
      <c r="H269" s="6" t="n">
        <v>0</v>
      </c>
      <c r="I269" s="6" t="n">
        <v>0</v>
      </c>
      <c r="J269" s="6" t="n">
        <v>0</v>
      </c>
      <c r="K269" s="7" t="str">
        <f aca="false">IF(E269+F269=0,"",E269/(E269+F269))</f>
        <v/>
      </c>
      <c r="L269" s="13" t="str">
        <f aca="false">IF(E269+I269&gt;0,"Yes","No")</f>
        <v>No</v>
      </c>
      <c r="M269" s="14"/>
    </row>
    <row r="270" customFormat="false" ht="15" hidden="false" customHeight="false" outlineLevel="0" collapsed="false">
      <c r="A270" s="9" t="n">
        <v>269</v>
      </c>
      <c r="B270" s="9" t="s">
        <v>443</v>
      </c>
      <c r="C270" s="10" t="n">
        <v>11</v>
      </c>
      <c r="D270" s="10" t="n">
        <v>30</v>
      </c>
      <c r="E270" s="10" t="n">
        <v>41</v>
      </c>
      <c r="F270" s="10" t="n">
        <v>0</v>
      </c>
      <c r="G270" s="10" t="n">
        <v>0</v>
      </c>
      <c r="H270" s="10" t="n">
        <v>1</v>
      </c>
      <c r="I270" s="10" t="n">
        <v>1</v>
      </c>
      <c r="J270" s="10" t="n">
        <v>0</v>
      </c>
      <c r="K270" s="11" t="n">
        <f aca="false">IF(E270+F270=0,"",E270/(E270+F270))</f>
        <v>1</v>
      </c>
      <c r="L270" s="9" t="str">
        <f aca="false">IF(E270+I270&gt;0,"Yes","No")</f>
        <v>Yes</v>
      </c>
      <c r="M270" s="12" t="s">
        <v>444</v>
      </c>
    </row>
    <row r="271" customFormat="false" ht="15" hidden="false" customHeight="false" outlineLevel="0" collapsed="false">
      <c r="A271" s="13" t="n">
        <v>270</v>
      </c>
      <c r="B271" s="13" t="s">
        <v>391</v>
      </c>
      <c r="C271" s="6" t="n">
        <v>31</v>
      </c>
      <c r="D271" s="6" t="n">
        <v>24</v>
      </c>
      <c r="E271" s="6" t="n">
        <v>55</v>
      </c>
      <c r="F271" s="6" t="n">
        <v>0</v>
      </c>
      <c r="G271" s="6" t="n">
        <v>9</v>
      </c>
      <c r="H271" s="6" t="n">
        <v>2</v>
      </c>
      <c r="I271" s="6" t="n">
        <v>11</v>
      </c>
      <c r="J271" s="6" t="n">
        <v>0</v>
      </c>
      <c r="K271" s="7" t="n">
        <f aca="false">IF(E271+F271=0,"",E271/(E271+F271))</f>
        <v>1</v>
      </c>
      <c r="L271" s="13" t="str">
        <f aca="false">IF(E271+I271&gt;0,"Yes","No")</f>
        <v>Yes</v>
      </c>
      <c r="M271" s="14" t="s">
        <v>392</v>
      </c>
    </row>
    <row r="272" customFormat="false" ht="15" hidden="false" customHeight="false" outlineLevel="0" collapsed="false">
      <c r="A272" s="9" t="n">
        <v>271</v>
      </c>
      <c r="B272" s="9" t="s">
        <v>423</v>
      </c>
      <c r="C272" s="10" t="n">
        <v>16</v>
      </c>
      <c r="D272" s="10" t="n">
        <v>28</v>
      </c>
      <c r="E272" s="10" t="n">
        <v>44</v>
      </c>
      <c r="F272" s="10" t="n">
        <v>1</v>
      </c>
      <c r="G272" s="10" t="n">
        <v>5</v>
      </c>
      <c r="H272" s="10" t="n">
        <v>5</v>
      </c>
      <c r="I272" s="10" t="n">
        <v>10</v>
      </c>
      <c r="J272" s="10" t="n">
        <v>0</v>
      </c>
      <c r="K272" s="11" t="n">
        <f aca="false">IF(E272+F272=0,"",E272/(E272+F272))</f>
        <v>0.977777777777778</v>
      </c>
      <c r="L272" s="9" t="str">
        <f aca="false">IF(E272+I272&gt;0,"Yes","No")</f>
        <v>Yes</v>
      </c>
      <c r="M272" s="12" t="s">
        <v>424</v>
      </c>
    </row>
    <row r="273" customFormat="false" ht="15" hidden="false" customHeight="false" outlineLevel="0" collapsed="false">
      <c r="A273" s="13" t="n">
        <v>272</v>
      </c>
      <c r="B273" s="13" t="s">
        <v>469</v>
      </c>
      <c r="C273" s="6" t="n">
        <v>22</v>
      </c>
      <c r="D273" s="6" t="n">
        <v>11</v>
      </c>
      <c r="E273" s="6" t="n">
        <v>33</v>
      </c>
      <c r="F273" s="6" t="n">
        <v>1</v>
      </c>
      <c r="G273" s="6" t="n">
        <v>7</v>
      </c>
      <c r="H273" s="6" t="n">
        <v>4</v>
      </c>
      <c r="I273" s="6" t="n">
        <v>11</v>
      </c>
      <c r="J273" s="6" t="n">
        <v>0</v>
      </c>
      <c r="K273" s="7" t="n">
        <f aca="false">IF(E273+F273=0,"",E273/(E273+F273))</f>
        <v>0.970588235294118</v>
      </c>
      <c r="L273" s="13" t="str">
        <f aca="false">IF(E273+I273&gt;0,"Yes","No")</f>
        <v>Yes</v>
      </c>
      <c r="M273" s="14" t="s">
        <v>470</v>
      </c>
    </row>
    <row r="274" customFormat="false" ht="15" hidden="false" customHeight="false" outlineLevel="0" collapsed="false">
      <c r="A274" s="9" t="n">
        <v>273</v>
      </c>
      <c r="B274" s="9" t="s">
        <v>327</v>
      </c>
      <c r="C274" s="10" t="n">
        <v>19</v>
      </c>
      <c r="D274" s="10" t="n">
        <v>66</v>
      </c>
      <c r="E274" s="10" t="n">
        <v>85</v>
      </c>
      <c r="F274" s="10" t="n">
        <v>1</v>
      </c>
      <c r="G274" s="10" t="n">
        <v>10</v>
      </c>
      <c r="H274" s="10" t="n">
        <v>9</v>
      </c>
      <c r="I274" s="10" t="n">
        <v>19</v>
      </c>
      <c r="J274" s="10" t="n">
        <v>1</v>
      </c>
      <c r="K274" s="11" t="n">
        <f aca="false">IF(E274+F274=0,"",E274/(E274+F274))</f>
        <v>0.988372093023256</v>
      </c>
      <c r="L274" s="9" t="str">
        <f aca="false">IF(E274+I274&gt;0,"Yes","No")</f>
        <v>Yes</v>
      </c>
      <c r="M274" s="12" t="s">
        <v>328</v>
      </c>
    </row>
    <row r="275" customFormat="false" ht="15" hidden="false" customHeight="false" outlineLevel="0" collapsed="false">
      <c r="A275" s="13" t="n">
        <v>274</v>
      </c>
      <c r="B275" s="13" t="s">
        <v>265</v>
      </c>
      <c r="C275" s="6" t="n">
        <v>48</v>
      </c>
      <c r="D275" s="6" t="n">
        <v>74</v>
      </c>
      <c r="E275" s="6" t="n">
        <v>122</v>
      </c>
      <c r="F275" s="6" t="n">
        <v>1</v>
      </c>
      <c r="G275" s="6" t="n">
        <v>7</v>
      </c>
      <c r="H275" s="6" t="n">
        <v>8</v>
      </c>
      <c r="I275" s="6" t="n">
        <v>15</v>
      </c>
      <c r="J275" s="6" t="n">
        <v>2</v>
      </c>
      <c r="K275" s="7" t="n">
        <f aca="false">IF(E275+F275=0,"",E275/(E275+F275))</f>
        <v>0.991869918699187</v>
      </c>
      <c r="L275" s="13" t="str">
        <f aca="false">IF(E275+I275&gt;0,"Yes","No")</f>
        <v>Yes</v>
      </c>
      <c r="M275" s="14" t="s">
        <v>266</v>
      </c>
    </row>
    <row r="276" customFormat="false" ht="15" hidden="false" customHeight="false" outlineLevel="0" collapsed="false">
      <c r="A276" s="9" t="n">
        <v>275</v>
      </c>
      <c r="B276" s="9" t="s">
        <v>259</v>
      </c>
      <c r="C276" s="10" t="n">
        <v>103</v>
      </c>
      <c r="D276" s="10" t="n">
        <v>21</v>
      </c>
      <c r="E276" s="10" t="n">
        <v>124</v>
      </c>
      <c r="F276" s="10" t="n">
        <v>2</v>
      </c>
      <c r="G276" s="10" t="n">
        <v>11</v>
      </c>
      <c r="H276" s="10" t="n">
        <v>3</v>
      </c>
      <c r="I276" s="10" t="n">
        <v>14</v>
      </c>
      <c r="J276" s="10" t="n">
        <v>0</v>
      </c>
      <c r="K276" s="11" t="n">
        <f aca="false">IF(E276+F276=0,"",E276/(E276+F276))</f>
        <v>0.984126984126984</v>
      </c>
      <c r="L276" s="9" t="str">
        <f aca="false">IF(E276+I276&gt;0,"Yes","No")</f>
        <v>Yes</v>
      </c>
      <c r="M276" s="12" t="s">
        <v>260</v>
      </c>
    </row>
    <row r="277" customFormat="false" ht="15" hidden="false" customHeight="false" outlineLevel="0" collapsed="false">
      <c r="A277" s="13" t="n">
        <v>276</v>
      </c>
      <c r="B277" s="13" t="s">
        <v>903</v>
      </c>
      <c r="C277" s="6" t="n">
        <v>0</v>
      </c>
      <c r="D277" s="6" t="n">
        <v>0</v>
      </c>
      <c r="E277" s="6" t="n">
        <v>0</v>
      </c>
      <c r="F277" s="6" t="n">
        <v>0</v>
      </c>
      <c r="G277" s="6" t="n">
        <v>0</v>
      </c>
      <c r="H277" s="6" t="n">
        <v>0</v>
      </c>
      <c r="I277" s="6" t="n">
        <v>0</v>
      </c>
      <c r="J277" s="6" t="n">
        <v>0</v>
      </c>
      <c r="K277" s="7" t="str">
        <f aca="false">IF(E277+F277=0,"",E277/(E277+F277))</f>
        <v/>
      </c>
      <c r="L277" s="13" t="str">
        <f aca="false">IF(E277+I277&gt;0,"Yes","No")</f>
        <v>No</v>
      </c>
      <c r="M277" s="14"/>
    </row>
    <row r="278" customFormat="false" ht="15" hidden="false" customHeight="false" outlineLevel="0" collapsed="false">
      <c r="A278" s="9" t="n">
        <v>277</v>
      </c>
      <c r="B278" s="9" t="s">
        <v>849</v>
      </c>
      <c r="C278" s="10" t="n">
        <v>0</v>
      </c>
      <c r="D278" s="10" t="n">
        <v>1</v>
      </c>
      <c r="E278" s="10" t="n">
        <v>1</v>
      </c>
      <c r="F278" s="10" t="n">
        <v>0</v>
      </c>
      <c r="G278" s="10" t="n">
        <v>0</v>
      </c>
      <c r="H278" s="10" t="n">
        <v>1</v>
      </c>
      <c r="I278" s="10" t="n">
        <v>1</v>
      </c>
      <c r="J278" s="10" t="n">
        <v>0</v>
      </c>
      <c r="K278" s="11" t="n">
        <f aca="false">IF(E278+F278=0,"",E278/(E278+F278))</f>
        <v>1</v>
      </c>
      <c r="L278" s="9" t="str">
        <f aca="false">IF(E278+I278&gt;0,"Yes","No")</f>
        <v>Yes</v>
      </c>
      <c r="M278" s="12" t="s">
        <v>850</v>
      </c>
    </row>
    <row r="279" customFormat="false" ht="15" hidden="false" customHeight="false" outlineLevel="0" collapsed="false">
      <c r="A279" s="13" t="n">
        <v>278</v>
      </c>
      <c r="B279" s="13" t="s">
        <v>355</v>
      </c>
      <c r="C279" s="6" t="n">
        <v>26</v>
      </c>
      <c r="D279" s="6" t="n">
        <v>43</v>
      </c>
      <c r="E279" s="6" t="n">
        <v>69</v>
      </c>
      <c r="F279" s="6" t="n">
        <v>0</v>
      </c>
      <c r="G279" s="6" t="n">
        <v>3</v>
      </c>
      <c r="H279" s="6" t="n">
        <v>3</v>
      </c>
      <c r="I279" s="6" t="n">
        <v>6</v>
      </c>
      <c r="J279" s="6" t="n">
        <v>0</v>
      </c>
      <c r="K279" s="7" t="n">
        <f aca="false">IF(E279+F279=0,"",E279/(E279+F279))</f>
        <v>1</v>
      </c>
      <c r="L279" s="13" t="str">
        <f aca="false">IF(E279+I279&gt;0,"Yes","No")</f>
        <v>Yes</v>
      </c>
      <c r="M279" s="14" t="s">
        <v>356</v>
      </c>
    </row>
    <row r="280" customFormat="false" ht="15" hidden="false" customHeight="false" outlineLevel="0" collapsed="false">
      <c r="A280" s="9" t="n">
        <v>279</v>
      </c>
      <c r="B280" s="9" t="s">
        <v>691</v>
      </c>
      <c r="C280" s="10" t="n">
        <v>7</v>
      </c>
      <c r="D280" s="10" t="n">
        <v>2</v>
      </c>
      <c r="E280" s="10" t="n">
        <v>9</v>
      </c>
      <c r="F280" s="10" t="n">
        <v>0</v>
      </c>
      <c r="G280" s="10" t="n">
        <v>1</v>
      </c>
      <c r="H280" s="10" t="n">
        <v>4</v>
      </c>
      <c r="I280" s="10" t="n">
        <v>5</v>
      </c>
      <c r="J280" s="10" t="n">
        <v>0</v>
      </c>
      <c r="K280" s="11" t="n">
        <f aca="false">IF(E280+F280=0,"",E280/(E280+F280))</f>
        <v>1</v>
      </c>
      <c r="L280" s="9" t="str">
        <f aca="false">IF(E280+I280&gt;0,"Yes","No")</f>
        <v>Yes</v>
      </c>
      <c r="M280" s="12" t="s">
        <v>692</v>
      </c>
    </row>
    <row r="281" customFormat="false" ht="15" hidden="false" customHeight="false" outlineLevel="0" collapsed="false">
      <c r="A281" s="13" t="n">
        <v>280</v>
      </c>
      <c r="B281" s="13" t="s">
        <v>463</v>
      </c>
      <c r="C281" s="6" t="n">
        <v>31</v>
      </c>
      <c r="D281" s="6" t="n">
        <v>3</v>
      </c>
      <c r="E281" s="6" t="n">
        <v>34</v>
      </c>
      <c r="F281" s="6" t="n">
        <v>1</v>
      </c>
      <c r="G281" s="6" t="n">
        <v>4</v>
      </c>
      <c r="H281" s="6" t="n">
        <v>1</v>
      </c>
      <c r="I281" s="6" t="n">
        <v>5</v>
      </c>
      <c r="J281" s="6" t="n">
        <v>0</v>
      </c>
      <c r="K281" s="7" t="n">
        <f aca="false">IF(E281+F281=0,"",E281/(E281+F281))</f>
        <v>0.971428571428571</v>
      </c>
      <c r="L281" s="13" t="str">
        <f aca="false">IF(E281+I281&gt;0,"Yes","No")</f>
        <v>Yes</v>
      </c>
      <c r="M281" s="14" t="s">
        <v>464</v>
      </c>
    </row>
    <row r="282" customFormat="false" ht="15" hidden="false" customHeight="false" outlineLevel="0" collapsed="false">
      <c r="A282" s="9" t="n">
        <v>281</v>
      </c>
      <c r="B282" s="9" t="s">
        <v>904</v>
      </c>
      <c r="C282" s="10" t="n">
        <v>0</v>
      </c>
      <c r="D282" s="10" t="n">
        <v>0</v>
      </c>
      <c r="E282" s="10" t="n">
        <v>0</v>
      </c>
      <c r="F282" s="10" t="n">
        <v>0</v>
      </c>
      <c r="G282" s="10" t="n">
        <v>0</v>
      </c>
      <c r="H282" s="10" t="n">
        <v>0</v>
      </c>
      <c r="I282" s="10" t="n">
        <v>0</v>
      </c>
      <c r="J282" s="10" t="n">
        <v>0</v>
      </c>
      <c r="K282" s="11" t="str">
        <f aca="false">IF(E282+F282=0,"",E282/(E282+F282))</f>
        <v/>
      </c>
      <c r="L282" s="9" t="str">
        <f aca="false">IF(E282+I282&gt;0,"Yes","No")</f>
        <v>No</v>
      </c>
      <c r="M282" s="12"/>
    </row>
    <row r="283" customFormat="false" ht="15" hidden="false" customHeight="false" outlineLevel="0" collapsed="false">
      <c r="A283" s="13" t="n">
        <v>282</v>
      </c>
      <c r="B283" s="13" t="s">
        <v>153</v>
      </c>
      <c r="C283" s="6" t="n">
        <v>190</v>
      </c>
      <c r="D283" s="6" t="n">
        <v>133</v>
      </c>
      <c r="E283" s="6" t="n">
        <v>323</v>
      </c>
      <c r="F283" s="6" t="n">
        <v>4</v>
      </c>
      <c r="G283" s="6" t="n">
        <v>28</v>
      </c>
      <c r="H283" s="6" t="n">
        <v>32</v>
      </c>
      <c r="I283" s="6" t="n">
        <v>60</v>
      </c>
      <c r="J283" s="6" t="n">
        <v>3</v>
      </c>
      <c r="K283" s="7" t="n">
        <f aca="false">IF(E283+F283=0,"",E283/(E283+F283))</f>
        <v>0.987767584097859</v>
      </c>
      <c r="L283" s="13" t="str">
        <f aca="false">IF(E283+I283&gt;0,"Yes","No")</f>
        <v>Yes</v>
      </c>
      <c r="M283" s="14" t="s">
        <v>154</v>
      </c>
    </row>
    <row r="284" customFormat="false" ht="15" hidden="false" customHeight="false" outlineLevel="0" collapsed="false">
      <c r="A284" s="9" t="n">
        <v>283</v>
      </c>
      <c r="B284" s="9" t="s">
        <v>793</v>
      </c>
      <c r="C284" s="10" t="n">
        <v>2</v>
      </c>
      <c r="D284" s="10" t="n">
        <v>2</v>
      </c>
      <c r="E284" s="10" t="n">
        <v>4</v>
      </c>
      <c r="F284" s="10" t="n">
        <v>0</v>
      </c>
      <c r="G284" s="10" t="n">
        <v>0</v>
      </c>
      <c r="H284" s="10" t="n">
        <v>0</v>
      </c>
      <c r="I284" s="10" t="n">
        <v>0</v>
      </c>
      <c r="J284" s="10" t="n">
        <v>0</v>
      </c>
      <c r="K284" s="11" t="n">
        <f aca="false">IF(E284+F284=0,"",E284/(E284+F284))</f>
        <v>1</v>
      </c>
      <c r="L284" s="9" t="str">
        <f aca="false">IF(E284+I284&gt;0,"Yes","No")</f>
        <v>Yes</v>
      </c>
      <c r="M284" s="12" t="s">
        <v>794</v>
      </c>
    </row>
    <row r="285" customFormat="false" ht="15" hidden="false" customHeight="false" outlineLevel="0" collapsed="false">
      <c r="A285" s="13" t="n">
        <v>284</v>
      </c>
      <c r="B285" s="13" t="s">
        <v>127</v>
      </c>
      <c r="C285" s="6" t="n">
        <v>151</v>
      </c>
      <c r="D285" s="6" t="n">
        <v>304</v>
      </c>
      <c r="E285" s="6" t="n">
        <v>455</v>
      </c>
      <c r="F285" s="6" t="n">
        <v>10</v>
      </c>
      <c r="G285" s="6" t="n">
        <v>61</v>
      </c>
      <c r="H285" s="6" t="n">
        <v>72</v>
      </c>
      <c r="I285" s="6" t="n">
        <v>133</v>
      </c>
      <c r="J285" s="6" t="n">
        <v>1</v>
      </c>
      <c r="K285" s="7" t="n">
        <f aca="false">IF(E285+F285=0,"",E285/(E285+F285))</f>
        <v>0.978494623655914</v>
      </c>
      <c r="L285" s="13" t="str">
        <f aca="false">IF(E285+I285&gt;0,"Yes","No")</f>
        <v>Yes</v>
      </c>
      <c r="M285" s="14" t="s">
        <v>128</v>
      </c>
    </row>
    <row r="286" customFormat="false" ht="15" hidden="false" customHeight="false" outlineLevel="0" collapsed="false">
      <c r="A286" s="9" t="n">
        <v>285</v>
      </c>
      <c r="B286" s="9" t="s">
        <v>567</v>
      </c>
      <c r="C286" s="10" t="n">
        <v>6</v>
      </c>
      <c r="D286" s="10" t="n">
        <v>13</v>
      </c>
      <c r="E286" s="10" t="n">
        <v>19</v>
      </c>
      <c r="F286" s="10" t="n">
        <v>0</v>
      </c>
      <c r="G286" s="10" t="n">
        <v>6</v>
      </c>
      <c r="H286" s="10" t="n">
        <v>2</v>
      </c>
      <c r="I286" s="10" t="n">
        <v>8</v>
      </c>
      <c r="J286" s="10" t="n">
        <v>0</v>
      </c>
      <c r="K286" s="11" t="n">
        <f aca="false">IF(E286+F286=0,"",E286/(E286+F286))</f>
        <v>1</v>
      </c>
      <c r="L286" s="9" t="str">
        <f aca="false">IF(E286+I286&gt;0,"Yes","No")</f>
        <v>Yes</v>
      </c>
      <c r="M286" s="12" t="s">
        <v>568</v>
      </c>
    </row>
    <row r="287" customFormat="false" ht="15" hidden="false" customHeight="false" outlineLevel="0" collapsed="false">
      <c r="A287" s="13" t="n">
        <v>286</v>
      </c>
      <c r="B287" s="13" t="s">
        <v>809</v>
      </c>
      <c r="C287" s="6" t="n">
        <v>2</v>
      </c>
      <c r="D287" s="6" t="n">
        <v>1</v>
      </c>
      <c r="E287" s="6" t="n">
        <v>3</v>
      </c>
      <c r="F287" s="6" t="n">
        <v>0</v>
      </c>
      <c r="G287" s="6" t="n">
        <v>1</v>
      </c>
      <c r="H287" s="6" t="n">
        <v>0</v>
      </c>
      <c r="I287" s="6" t="n">
        <v>1</v>
      </c>
      <c r="J287" s="6" t="n">
        <v>0</v>
      </c>
      <c r="K287" s="7" t="n">
        <f aca="false">IF(E287+F287=0,"",E287/(E287+F287))</f>
        <v>1</v>
      </c>
      <c r="L287" s="13" t="str">
        <f aca="false">IF(E287+I287&gt;0,"Yes","No")</f>
        <v>Yes</v>
      </c>
      <c r="M287" s="14" t="s">
        <v>810</v>
      </c>
    </row>
    <row r="288" customFormat="false" ht="15" hidden="false" customHeight="false" outlineLevel="0" collapsed="false">
      <c r="A288" s="9" t="n">
        <v>287</v>
      </c>
      <c r="B288" s="9" t="s">
        <v>905</v>
      </c>
      <c r="C288" s="10" t="n">
        <v>0</v>
      </c>
      <c r="D288" s="10" t="n">
        <v>0</v>
      </c>
      <c r="E288" s="10" t="n">
        <v>0</v>
      </c>
      <c r="F288" s="10" t="n">
        <v>0</v>
      </c>
      <c r="G288" s="10" t="n">
        <v>0</v>
      </c>
      <c r="H288" s="10" t="n">
        <v>0</v>
      </c>
      <c r="I288" s="10" t="n">
        <v>0</v>
      </c>
      <c r="J288" s="10" t="n">
        <v>0</v>
      </c>
      <c r="K288" s="11" t="str">
        <f aca="false">IF(E288+F288=0,"",E288/(E288+F288))</f>
        <v/>
      </c>
      <c r="L288" s="9" t="str">
        <f aca="false">IF(E288+I288&gt;0,"Yes","No")</f>
        <v>No</v>
      </c>
      <c r="M288" s="12"/>
    </row>
    <row r="289" customFormat="false" ht="15" hidden="false" customHeight="false" outlineLevel="0" collapsed="false">
      <c r="A289" s="13" t="n">
        <v>288</v>
      </c>
      <c r="B289" s="13" t="s">
        <v>329</v>
      </c>
      <c r="C289" s="6" t="n">
        <v>48</v>
      </c>
      <c r="D289" s="6" t="n">
        <v>37</v>
      </c>
      <c r="E289" s="6" t="n">
        <v>85</v>
      </c>
      <c r="F289" s="6" t="n">
        <v>1</v>
      </c>
      <c r="G289" s="6" t="n">
        <v>10</v>
      </c>
      <c r="H289" s="6" t="n">
        <v>7</v>
      </c>
      <c r="I289" s="6" t="n">
        <v>17</v>
      </c>
      <c r="J289" s="6" t="n">
        <v>0</v>
      </c>
      <c r="K289" s="7" t="n">
        <f aca="false">IF(E289+F289=0,"",E289/(E289+F289))</f>
        <v>0.988372093023256</v>
      </c>
      <c r="L289" s="13" t="str">
        <f aca="false">IF(E289+I289&gt;0,"Yes","No")</f>
        <v>Yes</v>
      </c>
      <c r="M289" s="14" t="s">
        <v>330</v>
      </c>
    </row>
    <row r="290" customFormat="false" ht="15" hidden="false" customHeight="false" outlineLevel="0" collapsed="false">
      <c r="A290" s="9" t="n">
        <v>289</v>
      </c>
      <c r="B290" s="9" t="s">
        <v>341</v>
      </c>
      <c r="C290" s="10" t="n">
        <v>53</v>
      </c>
      <c r="D290" s="10" t="n">
        <v>26</v>
      </c>
      <c r="E290" s="10" t="n">
        <v>79</v>
      </c>
      <c r="F290" s="10" t="n">
        <v>3</v>
      </c>
      <c r="G290" s="10" t="n">
        <v>7</v>
      </c>
      <c r="H290" s="10" t="n">
        <v>5</v>
      </c>
      <c r="I290" s="10" t="n">
        <v>12</v>
      </c>
      <c r="J290" s="10" t="n">
        <v>2</v>
      </c>
      <c r="K290" s="11" t="n">
        <f aca="false">IF(E290+F290=0,"",E290/(E290+F290))</f>
        <v>0.963414634146341</v>
      </c>
      <c r="L290" s="9" t="str">
        <f aca="false">IF(E290+I290&gt;0,"Yes","No")</f>
        <v>Yes</v>
      </c>
      <c r="M290" s="12" t="s">
        <v>342</v>
      </c>
    </row>
    <row r="291" customFormat="false" ht="15" hidden="false" customHeight="false" outlineLevel="0" collapsed="false">
      <c r="A291" s="13" t="n">
        <v>290</v>
      </c>
      <c r="B291" s="13" t="s">
        <v>906</v>
      </c>
      <c r="C291" s="6" t="n">
        <v>0</v>
      </c>
      <c r="D291" s="6" t="n">
        <v>0</v>
      </c>
      <c r="E291" s="6" t="n">
        <v>0</v>
      </c>
      <c r="F291" s="6" t="n">
        <v>0</v>
      </c>
      <c r="G291" s="6" t="n">
        <v>0</v>
      </c>
      <c r="H291" s="6" t="n">
        <v>0</v>
      </c>
      <c r="I291" s="6" t="n">
        <v>0</v>
      </c>
      <c r="J291" s="6" t="n">
        <v>0</v>
      </c>
      <c r="K291" s="7" t="str">
        <f aca="false">IF(E291+F291=0,"",E291/(E291+F291))</f>
        <v/>
      </c>
      <c r="L291" s="13" t="str">
        <f aca="false">IF(E291+I291&gt;0,"Yes","No")</f>
        <v>No</v>
      </c>
      <c r="M291" s="14"/>
    </row>
    <row r="292" customFormat="false" ht="15" hidden="false" customHeight="false" outlineLevel="0" collapsed="false">
      <c r="A292" s="9" t="n">
        <v>291</v>
      </c>
      <c r="B292" s="9" t="s">
        <v>523</v>
      </c>
      <c r="C292" s="10" t="n">
        <v>17</v>
      </c>
      <c r="D292" s="10" t="n">
        <v>8</v>
      </c>
      <c r="E292" s="10" t="n">
        <v>25</v>
      </c>
      <c r="F292" s="10" t="n">
        <v>0</v>
      </c>
      <c r="G292" s="10" t="n">
        <v>1</v>
      </c>
      <c r="H292" s="10" t="n">
        <v>5</v>
      </c>
      <c r="I292" s="10" t="n">
        <v>6</v>
      </c>
      <c r="J292" s="10" t="n">
        <v>1</v>
      </c>
      <c r="K292" s="11" t="n">
        <f aca="false">IF(E292+F292=0,"",E292/(E292+F292))</f>
        <v>1</v>
      </c>
      <c r="L292" s="9" t="str">
        <f aca="false">IF(E292+I292&gt;0,"Yes","No")</f>
        <v>Yes</v>
      </c>
      <c r="M292" s="12" t="s">
        <v>524</v>
      </c>
    </row>
    <row r="293" customFormat="false" ht="15" hidden="false" customHeight="false" outlineLevel="0" collapsed="false">
      <c r="A293" s="13" t="n">
        <v>292</v>
      </c>
      <c r="B293" s="13" t="s">
        <v>821</v>
      </c>
      <c r="C293" s="6" t="n">
        <v>3</v>
      </c>
      <c r="D293" s="6" t="n">
        <v>0</v>
      </c>
      <c r="E293" s="6" t="n">
        <v>3</v>
      </c>
      <c r="F293" s="6" t="n">
        <v>1</v>
      </c>
      <c r="G293" s="6" t="n">
        <v>0</v>
      </c>
      <c r="H293" s="6" t="n">
        <v>0</v>
      </c>
      <c r="I293" s="6" t="n">
        <v>0</v>
      </c>
      <c r="J293" s="6" t="n">
        <v>0</v>
      </c>
      <c r="K293" s="7" t="n">
        <f aca="false">IF(E293+F293=0,"",E293/(E293+F293))</f>
        <v>0.75</v>
      </c>
      <c r="L293" s="13" t="str">
        <f aca="false">IF(E293+I293&gt;0,"Yes","No")</f>
        <v>Yes</v>
      </c>
      <c r="M293" s="14" t="s">
        <v>822</v>
      </c>
    </row>
    <row r="294" customFormat="false" ht="15" hidden="false" customHeight="false" outlineLevel="0" collapsed="false">
      <c r="A294" s="9" t="n">
        <v>293</v>
      </c>
      <c r="B294" s="9" t="s">
        <v>227</v>
      </c>
      <c r="C294" s="10" t="n">
        <v>86</v>
      </c>
      <c r="D294" s="10" t="n">
        <v>74</v>
      </c>
      <c r="E294" s="10" t="n">
        <v>160</v>
      </c>
      <c r="F294" s="10" t="n">
        <v>1</v>
      </c>
      <c r="G294" s="10" t="n">
        <v>10</v>
      </c>
      <c r="H294" s="10" t="n">
        <v>14</v>
      </c>
      <c r="I294" s="10" t="n">
        <v>24</v>
      </c>
      <c r="J294" s="10" t="n">
        <v>0</v>
      </c>
      <c r="K294" s="11" t="n">
        <f aca="false">IF(E294+F294=0,"",E294/(E294+F294))</f>
        <v>0.993788819875776</v>
      </c>
      <c r="L294" s="9" t="str">
        <f aca="false">IF(E294+I294&gt;0,"Yes","No")</f>
        <v>Yes</v>
      </c>
      <c r="M294" s="12" t="s">
        <v>228</v>
      </c>
    </row>
    <row r="295" customFormat="false" ht="15" hidden="false" customHeight="false" outlineLevel="0" collapsed="false">
      <c r="A295" s="13" t="n">
        <v>294</v>
      </c>
      <c r="B295" s="13" t="s">
        <v>907</v>
      </c>
      <c r="C295" s="6" t="n">
        <v>0</v>
      </c>
      <c r="D295" s="6" t="n">
        <v>0</v>
      </c>
      <c r="E295" s="6" t="n">
        <v>0</v>
      </c>
      <c r="F295" s="6" t="n">
        <v>0</v>
      </c>
      <c r="G295" s="6" t="n">
        <v>0</v>
      </c>
      <c r="H295" s="6" t="n">
        <v>0</v>
      </c>
      <c r="I295" s="6" t="n">
        <v>0</v>
      </c>
      <c r="J295" s="6" t="n">
        <v>0</v>
      </c>
      <c r="K295" s="7" t="str">
        <f aca="false">IF(E295+F295=0,"",E295/(E295+F295))</f>
        <v/>
      </c>
      <c r="L295" s="13" t="str">
        <f aca="false">IF(E295+I295&gt;0,"Yes","No")</f>
        <v>No</v>
      </c>
      <c r="M295" s="14"/>
    </row>
    <row r="296" customFormat="false" ht="15" hidden="false" customHeight="false" outlineLevel="0" collapsed="false">
      <c r="A296" s="9" t="n">
        <v>295</v>
      </c>
      <c r="B296" s="9" t="s">
        <v>377</v>
      </c>
      <c r="C296" s="10" t="n">
        <v>52</v>
      </c>
      <c r="D296" s="10" t="n">
        <v>11</v>
      </c>
      <c r="E296" s="10" t="n">
        <v>63</v>
      </c>
      <c r="F296" s="10" t="n">
        <v>1</v>
      </c>
      <c r="G296" s="10" t="n">
        <v>21</v>
      </c>
      <c r="H296" s="10" t="n">
        <v>0</v>
      </c>
      <c r="I296" s="10" t="n">
        <v>21</v>
      </c>
      <c r="J296" s="10" t="n">
        <v>0</v>
      </c>
      <c r="K296" s="11" t="n">
        <f aca="false">IF(E296+F296=0,"",E296/(E296+F296))</f>
        <v>0.984375</v>
      </c>
      <c r="L296" s="9" t="str">
        <f aca="false">IF(E296+I296&gt;0,"Yes","No")</f>
        <v>Yes</v>
      </c>
      <c r="M296" s="12" t="s">
        <v>378</v>
      </c>
    </row>
    <row r="297" customFormat="false" ht="15" hidden="false" customHeight="false" outlineLevel="0" collapsed="false">
      <c r="A297" s="13" t="n">
        <v>296</v>
      </c>
      <c r="B297" s="13" t="s">
        <v>249</v>
      </c>
      <c r="C297" s="6" t="n">
        <v>73</v>
      </c>
      <c r="D297" s="6" t="n">
        <v>63</v>
      </c>
      <c r="E297" s="6" t="n">
        <v>136</v>
      </c>
      <c r="F297" s="6" t="n">
        <v>4</v>
      </c>
      <c r="G297" s="6" t="n">
        <v>3</v>
      </c>
      <c r="H297" s="6" t="n">
        <v>10</v>
      </c>
      <c r="I297" s="6" t="n">
        <v>13</v>
      </c>
      <c r="J297" s="6" t="n">
        <v>0</v>
      </c>
      <c r="K297" s="7" t="n">
        <f aca="false">IF(E297+F297=0,"",E297/(E297+F297))</f>
        <v>0.971428571428571</v>
      </c>
      <c r="L297" s="13" t="str">
        <f aca="false">IF(E297+I297&gt;0,"Yes","No")</f>
        <v>Yes</v>
      </c>
      <c r="M297" s="14" t="s">
        <v>250</v>
      </c>
    </row>
    <row r="298" customFormat="false" ht="15" hidden="false" customHeight="false" outlineLevel="0" collapsed="false">
      <c r="A298" s="9" t="n">
        <v>297</v>
      </c>
      <c r="B298" s="9" t="s">
        <v>665</v>
      </c>
      <c r="C298" s="10" t="n">
        <v>5</v>
      </c>
      <c r="D298" s="10" t="n">
        <v>6</v>
      </c>
      <c r="E298" s="10" t="n">
        <v>11</v>
      </c>
      <c r="F298" s="10" t="n">
        <v>0</v>
      </c>
      <c r="G298" s="10" t="n">
        <v>2</v>
      </c>
      <c r="H298" s="10" t="n">
        <v>1</v>
      </c>
      <c r="I298" s="10" t="n">
        <v>3</v>
      </c>
      <c r="J298" s="10" t="n">
        <v>0</v>
      </c>
      <c r="K298" s="11" t="n">
        <f aca="false">IF(E298+F298=0,"",E298/(E298+F298))</f>
        <v>1</v>
      </c>
      <c r="L298" s="9" t="str">
        <f aca="false">IF(E298+I298&gt;0,"Yes","No")</f>
        <v>Yes</v>
      </c>
      <c r="M298" s="12" t="s">
        <v>666</v>
      </c>
    </row>
    <row r="299" customFormat="false" ht="15" hidden="false" customHeight="false" outlineLevel="0" collapsed="false">
      <c r="A299" s="13" t="n">
        <v>298</v>
      </c>
      <c r="B299" s="13" t="s">
        <v>635</v>
      </c>
      <c r="C299" s="6" t="n">
        <v>3</v>
      </c>
      <c r="D299" s="6" t="n">
        <v>10</v>
      </c>
      <c r="E299" s="6" t="n">
        <v>13</v>
      </c>
      <c r="F299" s="6" t="n">
        <v>0</v>
      </c>
      <c r="G299" s="6" t="n">
        <v>7</v>
      </c>
      <c r="H299" s="6" t="n">
        <v>2</v>
      </c>
      <c r="I299" s="6" t="n">
        <v>9</v>
      </c>
      <c r="J299" s="6" t="n">
        <v>0</v>
      </c>
      <c r="K299" s="7" t="n">
        <f aca="false">IF(E299+F299=0,"",E299/(E299+F299))</f>
        <v>1</v>
      </c>
      <c r="L299" s="13" t="str">
        <f aca="false">IF(E299+I299&gt;0,"Yes","No")</f>
        <v>Yes</v>
      </c>
      <c r="M299" s="14" t="s">
        <v>636</v>
      </c>
    </row>
    <row r="300" customFormat="false" ht="15" hidden="false" customHeight="false" outlineLevel="0" collapsed="false">
      <c r="A300" s="9" t="n">
        <v>299</v>
      </c>
      <c r="B300" s="9" t="s">
        <v>851</v>
      </c>
      <c r="C300" s="10" t="n">
        <v>1</v>
      </c>
      <c r="D300" s="10" t="n">
        <v>0</v>
      </c>
      <c r="E300" s="10" t="n">
        <v>1</v>
      </c>
      <c r="F300" s="10" t="n">
        <v>0</v>
      </c>
      <c r="G300" s="10" t="n">
        <v>0</v>
      </c>
      <c r="H300" s="10" t="n">
        <v>1</v>
      </c>
      <c r="I300" s="10" t="n">
        <v>1</v>
      </c>
      <c r="J300" s="10" t="n">
        <v>0</v>
      </c>
      <c r="K300" s="11" t="n">
        <f aca="false">IF(E300+F300=0,"",E300/(E300+F300))</f>
        <v>1</v>
      </c>
      <c r="L300" s="9" t="str">
        <f aca="false">IF(E300+I300&gt;0,"Yes","No")</f>
        <v>Yes</v>
      </c>
      <c r="M300" s="12" t="s">
        <v>852</v>
      </c>
    </row>
    <row r="301" customFormat="false" ht="15" hidden="false" customHeight="false" outlineLevel="0" collapsed="false">
      <c r="A301" s="13" t="n">
        <v>300</v>
      </c>
      <c r="B301" s="13" t="s">
        <v>637</v>
      </c>
      <c r="C301" s="6" t="n">
        <v>3</v>
      </c>
      <c r="D301" s="6" t="n">
        <v>10</v>
      </c>
      <c r="E301" s="6" t="n">
        <v>13</v>
      </c>
      <c r="F301" s="6" t="n">
        <v>0</v>
      </c>
      <c r="G301" s="6" t="n">
        <v>2</v>
      </c>
      <c r="H301" s="6" t="n">
        <v>3</v>
      </c>
      <c r="I301" s="6" t="n">
        <v>5</v>
      </c>
      <c r="J301" s="6" t="n">
        <v>0</v>
      </c>
      <c r="K301" s="7" t="n">
        <f aca="false">IF(E301+F301=0,"",E301/(E301+F301))</f>
        <v>1</v>
      </c>
      <c r="L301" s="13" t="str">
        <f aca="false">IF(E301+I301&gt;0,"Yes","No")</f>
        <v>Yes</v>
      </c>
      <c r="M301" s="14" t="s">
        <v>638</v>
      </c>
    </row>
    <row r="302" customFormat="false" ht="15" hidden="false" customHeight="false" outlineLevel="0" collapsed="false">
      <c r="A302" s="9" t="n">
        <v>301</v>
      </c>
      <c r="B302" s="9" t="s">
        <v>877</v>
      </c>
      <c r="C302" s="10" t="n">
        <v>0</v>
      </c>
      <c r="D302" s="10" t="n">
        <v>1</v>
      </c>
      <c r="E302" s="10" t="n">
        <v>1</v>
      </c>
      <c r="F302" s="10" t="n">
        <v>0</v>
      </c>
      <c r="G302" s="10" t="n">
        <v>0</v>
      </c>
      <c r="H302" s="10" t="n">
        <v>0</v>
      </c>
      <c r="I302" s="10" t="n">
        <v>0</v>
      </c>
      <c r="J302" s="10" t="n">
        <v>0</v>
      </c>
      <c r="K302" s="11" t="n">
        <f aca="false">IF(E302+F302=0,"",E302/(E302+F302))</f>
        <v>1</v>
      </c>
      <c r="L302" s="9" t="str">
        <f aca="false">IF(E302+I302&gt;0,"Yes","No")</f>
        <v>Yes</v>
      </c>
      <c r="M302" s="12" t="s">
        <v>878</v>
      </c>
    </row>
    <row r="303" customFormat="false" ht="15" hidden="false" customHeight="false" outlineLevel="0" collapsed="false">
      <c r="A303" s="13" t="n">
        <v>302</v>
      </c>
      <c r="B303" s="13" t="s">
        <v>707</v>
      </c>
      <c r="C303" s="6" t="n">
        <v>3</v>
      </c>
      <c r="D303" s="6" t="n">
        <v>6</v>
      </c>
      <c r="E303" s="6" t="n">
        <v>9</v>
      </c>
      <c r="F303" s="6" t="n">
        <v>0</v>
      </c>
      <c r="G303" s="6" t="n">
        <v>0</v>
      </c>
      <c r="H303" s="6" t="n">
        <v>0</v>
      </c>
      <c r="I303" s="6" t="n">
        <v>0</v>
      </c>
      <c r="J303" s="6" t="n">
        <v>0</v>
      </c>
      <c r="K303" s="7" t="n">
        <f aca="false">IF(E303+F303=0,"",E303/(E303+F303))</f>
        <v>1</v>
      </c>
      <c r="L303" s="13" t="str">
        <f aca="false">IF(E303+I303&gt;0,"Yes","No")</f>
        <v>Yes</v>
      </c>
      <c r="M303" s="14" t="s">
        <v>708</v>
      </c>
    </row>
    <row r="304" customFormat="false" ht="15" hidden="false" customHeight="false" outlineLevel="0" collapsed="false">
      <c r="A304" s="9" t="n">
        <v>303</v>
      </c>
      <c r="B304" s="9" t="s">
        <v>908</v>
      </c>
      <c r="C304" s="10" t="n">
        <v>0</v>
      </c>
      <c r="D304" s="10" t="n">
        <v>0</v>
      </c>
      <c r="E304" s="10" t="n">
        <v>0</v>
      </c>
      <c r="F304" s="10" t="n">
        <v>0</v>
      </c>
      <c r="G304" s="10" t="n">
        <v>0</v>
      </c>
      <c r="H304" s="10" t="n">
        <v>0</v>
      </c>
      <c r="I304" s="10" t="n">
        <v>0</v>
      </c>
      <c r="J304" s="10" t="n">
        <v>0</v>
      </c>
      <c r="K304" s="11" t="str">
        <f aca="false">IF(E304+F304=0,"",E304/(E304+F304))</f>
        <v/>
      </c>
      <c r="L304" s="9" t="str">
        <f aca="false">IF(E304+I304&gt;0,"Yes","No")</f>
        <v>No</v>
      </c>
      <c r="M304" s="12"/>
    </row>
    <row r="305" customFormat="false" ht="15" hidden="false" customHeight="false" outlineLevel="0" collapsed="false">
      <c r="A305" s="13" t="n">
        <v>304</v>
      </c>
      <c r="B305" s="13" t="s">
        <v>251</v>
      </c>
      <c r="C305" s="6" t="n">
        <v>95</v>
      </c>
      <c r="D305" s="6" t="n">
        <v>38</v>
      </c>
      <c r="E305" s="6" t="n">
        <v>133</v>
      </c>
      <c r="F305" s="6" t="n">
        <v>4</v>
      </c>
      <c r="G305" s="6" t="n">
        <v>27</v>
      </c>
      <c r="H305" s="6" t="n">
        <v>10</v>
      </c>
      <c r="I305" s="6" t="n">
        <v>37</v>
      </c>
      <c r="J305" s="6" t="n">
        <v>0</v>
      </c>
      <c r="K305" s="7" t="n">
        <f aca="false">IF(E305+F305=0,"",E305/(E305+F305))</f>
        <v>0.970802919708029</v>
      </c>
      <c r="L305" s="13" t="str">
        <f aca="false">IF(E305+I305&gt;0,"Yes","No")</f>
        <v>Yes</v>
      </c>
      <c r="M305" s="14" t="s">
        <v>252</v>
      </c>
    </row>
    <row r="306" customFormat="false" ht="15" hidden="false" customHeight="false" outlineLevel="0" collapsed="false">
      <c r="A306" s="9" t="n">
        <v>305</v>
      </c>
      <c r="B306" s="9" t="s">
        <v>431</v>
      </c>
      <c r="C306" s="10" t="n">
        <v>20</v>
      </c>
      <c r="D306" s="10" t="n">
        <v>22</v>
      </c>
      <c r="E306" s="10" t="n">
        <v>42</v>
      </c>
      <c r="F306" s="10" t="n">
        <v>1</v>
      </c>
      <c r="G306" s="10" t="n">
        <v>7</v>
      </c>
      <c r="H306" s="10" t="n">
        <v>3</v>
      </c>
      <c r="I306" s="10" t="n">
        <v>10</v>
      </c>
      <c r="J306" s="10" t="n">
        <v>0</v>
      </c>
      <c r="K306" s="11" t="n">
        <f aca="false">IF(E306+F306=0,"",E306/(E306+F306))</f>
        <v>0.976744186046512</v>
      </c>
      <c r="L306" s="9" t="str">
        <f aca="false">IF(E306+I306&gt;0,"Yes","No")</f>
        <v>Yes</v>
      </c>
      <c r="M306" s="12" t="s">
        <v>432</v>
      </c>
    </row>
    <row r="307" customFormat="false" ht="15" hidden="false" customHeight="false" outlineLevel="0" collapsed="false">
      <c r="A307" s="13" t="n">
        <v>306</v>
      </c>
      <c r="B307" s="13" t="s">
        <v>607</v>
      </c>
      <c r="C307" s="6" t="n">
        <v>10</v>
      </c>
      <c r="D307" s="6" t="n">
        <v>6</v>
      </c>
      <c r="E307" s="6" t="n">
        <v>16</v>
      </c>
      <c r="F307" s="6" t="n">
        <v>0</v>
      </c>
      <c r="G307" s="6" t="n">
        <v>1</v>
      </c>
      <c r="H307" s="6" t="n">
        <v>0</v>
      </c>
      <c r="I307" s="6" t="n">
        <v>1</v>
      </c>
      <c r="J307" s="6" t="n">
        <v>0</v>
      </c>
      <c r="K307" s="7" t="n">
        <f aca="false">IF(E307+F307=0,"",E307/(E307+F307))</f>
        <v>1</v>
      </c>
      <c r="L307" s="13" t="str">
        <f aca="false">IF(E307+I307&gt;0,"Yes","No")</f>
        <v>Yes</v>
      </c>
      <c r="M307" s="14" t="s">
        <v>608</v>
      </c>
    </row>
    <row r="308" customFormat="false" ht="15" hidden="false" customHeight="false" outlineLevel="0" collapsed="false">
      <c r="A308" s="9" t="n">
        <v>307</v>
      </c>
      <c r="B308" s="9" t="s">
        <v>125</v>
      </c>
      <c r="C308" s="10" t="n">
        <v>253</v>
      </c>
      <c r="D308" s="10" t="n">
        <v>209</v>
      </c>
      <c r="E308" s="10" t="n">
        <v>462</v>
      </c>
      <c r="F308" s="10" t="n">
        <v>8</v>
      </c>
      <c r="G308" s="10" t="n">
        <v>89</v>
      </c>
      <c r="H308" s="10" t="n">
        <v>10</v>
      </c>
      <c r="I308" s="10" t="n">
        <v>99</v>
      </c>
      <c r="J308" s="10" t="n">
        <v>2</v>
      </c>
      <c r="K308" s="11" t="n">
        <f aca="false">IF(E308+F308=0,"",E308/(E308+F308))</f>
        <v>0.982978723404255</v>
      </c>
      <c r="L308" s="9" t="str">
        <f aca="false">IF(E308+I308&gt;0,"Yes","No")</f>
        <v>Yes</v>
      </c>
      <c r="M308" s="12" t="s">
        <v>126</v>
      </c>
    </row>
    <row r="309" customFormat="false" ht="15" hidden="false" customHeight="false" outlineLevel="0" collapsed="false">
      <c r="A309" s="13" t="n">
        <v>308</v>
      </c>
      <c r="B309" s="13" t="s">
        <v>781</v>
      </c>
      <c r="C309" s="6" t="n">
        <v>3</v>
      </c>
      <c r="D309" s="6" t="n">
        <v>1</v>
      </c>
      <c r="E309" s="6" t="n">
        <v>4</v>
      </c>
      <c r="F309" s="6" t="n">
        <v>0</v>
      </c>
      <c r="G309" s="6" t="n">
        <v>0</v>
      </c>
      <c r="H309" s="6" t="n">
        <v>1</v>
      </c>
      <c r="I309" s="6" t="n">
        <v>1</v>
      </c>
      <c r="J309" s="6" t="n">
        <v>0</v>
      </c>
      <c r="K309" s="7" t="n">
        <f aca="false">IF(E309+F309=0,"",E309/(E309+F309))</f>
        <v>1</v>
      </c>
      <c r="L309" s="13" t="str">
        <f aca="false">IF(E309+I309&gt;0,"Yes","No")</f>
        <v>Yes</v>
      </c>
      <c r="M309" s="14" t="s">
        <v>782</v>
      </c>
    </row>
    <row r="310" customFormat="false" ht="15" hidden="false" customHeight="false" outlineLevel="0" collapsed="false">
      <c r="A310" s="9" t="n">
        <v>309</v>
      </c>
      <c r="B310" s="9" t="s">
        <v>381</v>
      </c>
      <c r="C310" s="10" t="n">
        <v>29</v>
      </c>
      <c r="D310" s="10" t="n">
        <v>34</v>
      </c>
      <c r="E310" s="10" t="n">
        <v>63</v>
      </c>
      <c r="F310" s="10" t="n">
        <v>0</v>
      </c>
      <c r="G310" s="10" t="n">
        <v>1</v>
      </c>
      <c r="H310" s="10" t="n">
        <v>7</v>
      </c>
      <c r="I310" s="10" t="n">
        <v>8</v>
      </c>
      <c r="J310" s="10" t="n">
        <v>0</v>
      </c>
      <c r="K310" s="11" t="n">
        <f aca="false">IF(E310+F310=0,"",E310/(E310+F310))</f>
        <v>1</v>
      </c>
      <c r="L310" s="9" t="str">
        <f aca="false">IF(E310+I310&gt;0,"Yes","No")</f>
        <v>Yes</v>
      </c>
      <c r="M310" s="12" t="s">
        <v>382</v>
      </c>
    </row>
    <row r="311" customFormat="false" ht="15" hidden="false" customHeight="false" outlineLevel="0" collapsed="false">
      <c r="A311" s="13" t="n">
        <v>310</v>
      </c>
      <c r="B311" s="13" t="s">
        <v>663</v>
      </c>
      <c r="C311" s="6" t="n">
        <v>7</v>
      </c>
      <c r="D311" s="6" t="n">
        <v>4</v>
      </c>
      <c r="E311" s="6" t="n">
        <v>11</v>
      </c>
      <c r="F311" s="6" t="n">
        <v>0</v>
      </c>
      <c r="G311" s="6" t="n">
        <v>3</v>
      </c>
      <c r="H311" s="6" t="n">
        <v>2</v>
      </c>
      <c r="I311" s="6" t="n">
        <v>5</v>
      </c>
      <c r="J311" s="6" t="n">
        <v>0</v>
      </c>
      <c r="K311" s="7" t="n">
        <f aca="false">IF(E311+F311=0,"",E311/(E311+F311))</f>
        <v>1</v>
      </c>
      <c r="L311" s="13" t="str">
        <f aca="false">IF(E311+I311&gt;0,"Yes","No")</f>
        <v>Yes</v>
      </c>
      <c r="M311" s="14" t="s">
        <v>664</v>
      </c>
    </row>
    <row r="312" customFormat="false" ht="15" hidden="false" customHeight="false" outlineLevel="0" collapsed="false">
      <c r="A312" s="9" t="n">
        <v>311</v>
      </c>
      <c r="B312" s="9" t="s">
        <v>93</v>
      </c>
      <c r="C312" s="10" t="n">
        <v>230</v>
      </c>
      <c r="D312" s="10" t="n">
        <v>422</v>
      </c>
      <c r="E312" s="10" t="n">
        <v>652</v>
      </c>
      <c r="F312" s="10" t="n">
        <v>15</v>
      </c>
      <c r="G312" s="10" t="n">
        <v>41</v>
      </c>
      <c r="H312" s="10" t="n">
        <v>85</v>
      </c>
      <c r="I312" s="10" t="n">
        <v>126</v>
      </c>
      <c r="J312" s="10" t="n">
        <v>8</v>
      </c>
      <c r="K312" s="11" t="n">
        <f aca="false">IF(E312+F312=0,"",E312/(E312+F312))</f>
        <v>0.977511244377811</v>
      </c>
      <c r="L312" s="9" t="str">
        <f aca="false">IF(E312+I312&gt;0,"Yes","No")</f>
        <v>Yes</v>
      </c>
      <c r="M312" s="12" t="s">
        <v>94</v>
      </c>
    </row>
    <row r="313" customFormat="false" ht="15" hidden="false" customHeight="false" outlineLevel="0" collapsed="false">
      <c r="A313" s="13" t="n">
        <v>312</v>
      </c>
      <c r="B313" s="13" t="s">
        <v>287</v>
      </c>
      <c r="C313" s="6" t="n">
        <v>61</v>
      </c>
      <c r="D313" s="6" t="n">
        <v>50</v>
      </c>
      <c r="E313" s="6" t="n">
        <v>111</v>
      </c>
      <c r="F313" s="6" t="n">
        <v>0</v>
      </c>
      <c r="G313" s="6" t="n">
        <v>5</v>
      </c>
      <c r="H313" s="6" t="n">
        <v>9</v>
      </c>
      <c r="I313" s="6" t="n">
        <v>14</v>
      </c>
      <c r="J313" s="6" t="n">
        <v>0</v>
      </c>
      <c r="K313" s="7" t="n">
        <f aca="false">IF(E313+F313=0,"",E313/(E313+F313))</f>
        <v>1</v>
      </c>
      <c r="L313" s="13" t="str">
        <f aca="false">IF(E313+I313&gt;0,"Yes","No")</f>
        <v>Yes</v>
      </c>
      <c r="M313" s="14" t="s">
        <v>288</v>
      </c>
    </row>
    <row r="314" customFormat="false" ht="15" hidden="false" customHeight="false" outlineLevel="0" collapsed="false">
      <c r="A314" s="9" t="n">
        <v>313</v>
      </c>
      <c r="B314" s="9" t="s">
        <v>725</v>
      </c>
      <c r="C314" s="10" t="n">
        <v>2</v>
      </c>
      <c r="D314" s="10" t="n">
        <v>5</v>
      </c>
      <c r="E314" s="10" t="n">
        <v>7</v>
      </c>
      <c r="F314" s="10" t="n">
        <v>0</v>
      </c>
      <c r="G314" s="10" t="n">
        <v>1</v>
      </c>
      <c r="H314" s="10" t="n">
        <v>2</v>
      </c>
      <c r="I314" s="10" t="n">
        <v>3</v>
      </c>
      <c r="J314" s="10" t="n">
        <v>0</v>
      </c>
      <c r="K314" s="11" t="n">
        <f aca="false">IF(E314+F314=0,"",E314/(E314+F314))</f>
        <v>1</v>
      </c>
      <c r="L314" s="9" t="str">
        <f aca="false">IF(E314+I314&gt;0,"Yes","No")</f>
        <v>Yes</v>
      </c>
      <c r="M314" s="12" t="s">
        <v>726</v>
      </c>
    </row>
    <row r="315" customFormat="false" ht="15" hidden="false" customHeight="false" outlineLevel="0" collapsed="false">
      <c r="A315" s="13" t="n">
        <v>314</v>
      </c>
      <c r="B315" s="13" t="s">
        <v>433</v>
      </c>
      <c r="C315" s="6" t="n">
        <v>20</v>
      </c>
      <c r="D315" s="6" t="n">
        <v>22</v>
      </c>
      <c r="E315" s="6" t="n">
        <v>42</v>
      </c>
      <c r="F315" s="6" t="n">
        <v>0</v>
      </c>
      <c r="G315" s="6" t="n">
        <v>6</v>
      </c>
      <c r="H315" s="6" t="n">
        <v>4</v>
      </c>
      <c r="I315" s="6" t="n">
        <v>10</v>
      </c>
      <c r="J315" s="6" t="n">
        <v>1</v>
      </c>
      <c r="K315" s="7" t="n">
        <f aca="false">IF(E315+F315=0,"",E315/(E315+F315))</f>
        <v>1</v>
      </c>
      <c r="L315" s="13" t="str">
        <f aca="false">IF(E315+I315&gt;0,"Yes","No")</f>
        <v>Yes</v>
      </c>
      <c r="M315" s="14" t="s">
        <v>434</v>
      </c>
    </row>
    <row r="316" customFormat="false" ht="15" hidden="false" customHeight="false" outlineLevel="0" collapsed="false">
      <c r="A316" s="9" t="n">
        <v>315</v>
      </c>
      <c r="B316" s="9" t="s">
        <v>909</v>
      </c>
      <c r="C316" s="10" t="n">
        <v>0</v>
      </c>
      <c r="D316" s="10" t="n">
        <v>0</v>
      </c>
      <c r="E316" s="10" t="n">
        <v>0</v>
      </c>
      <c r="F316" s="10" t="n">
        <v>0</v>
      </c>
      <c r="G316" s="10" t="n">
        <v>0</v>
      </c>
      <c r="H316" s="10" t="n">
        <v>0</v>
      </c>
      <c r="I316" s="10" t="n">
        <v>0</v>
      </c>
      <c r="J316" s="10" t="n">
        <v>0</v>
      </c>
      <c r="K316" s="11" t="str">
        <f aca="false">IF(E316+F316=0,"",E316/(E316+F316))</f>
        <v/>
      </c>
      <c r="L316" s="9" t="str">
        <f aca="false">IF(E316+I316&gt;0,"Yes","No")</f>
        <v>No</v>
      </c>
      <c r="M316" s="12"/>
    </row>
    <row r="317" customFormat="false" ht="15" hidden="false" customHeight="false" outlineLevel="0" collapsed="false">
      <c r="A317" s="13" t="n">
        <v>316</v>
      </c>
      <c r="B317" s="13" t="s">
        <v>573</v>
      </c>
      <c r="C317" s="6" t="n">
        <v>11</v>
      </c>
      <c r="D317" s="6" t="n">
        <v>8</v>
      </c>
      <c r="E317" s="6" t="n">
        <v>19</v>
      </c>
      <c r="F317" s="6" t="n">
        <v>0</v>
      </c>
      <c r="G317" s="6" t="n">
        <v>1</v>
      </c>
      <c r="H317" s="6" t="n">
        <v>3</v>
      </c>
      <c r="I317" s="6" t="n">
        <v>4</v>
      </c>
      <c r="J317" s="6" t="n">
        <v>0</v>
      </c>
      <c r="K317" s="7" t="n">
        <f aca="false">IF(E317+F317=0,"",E317/(E317+F317))</f>
        <v>1</v>
      </c>
      <c r="L317" s="13" t="str">
        <f aca="false">IF(E317+I317&gt;0,"Yes","No")</f>
        <v>Yes</v>
      </c>
      <c r="M317" s="14" t="s">
        <v>574</v>
      </c>
    </row>
    <row r="318" customFormat="false" ht="15" hidden="false" customHeight="false" outlineLevel="0" collapsed="false">
      <c r="A318" s="9" t="n">
        <v>317</v>
      </c>
      <c r="B318" s="9" t="s">
        <v>843</v>
      </c>
      <c r="C318" s="10" t="n">
        <v>2</v>
      </c>
      <c r="D318" s="10" t="n">
        <v>0</v>
      </c>
      <c r="E318" s="10" t="n">
        <v>2</v>
      </c>
      <c r="F318" s="10" t="n">
        <v>0</v>
      </c>
      <c r="G318" s="10" t="n">
        <v>0</v>
      </c>
      <c r="H318" s="10" t="n">
        <v>0</v>
      </c>
      <c r="I318" s="10" t="n">
        <v>0</v>
      </c>
      <c r="J318" s="10" t="n">
        <v>0</v>
      </c>
      <c r="K318" s="11" t="n">
        <f aca="false">IF(E318+F318=0,"",E318/(E318+F318))</f>
        <v>1</v>
      </c>
      <c r="L318" s="9" t="str">
        <f aca="false">IF(E318+I318&gt;0,"Yes","No")</f>
        <v>Yes</v>
      </c>
      <c r="M318" s="12" t="s">
        <v>844</v>
      </c>
    </row>
    <row r="319" customFormat="false" ht="15" hidden="false" customHeight="false" outlineLevel="0" collapsed="false">
      <c r="A319" s="13" t="n">
        <v>318</v>
      </c>
      <c r="B319" s="13" t="s">
        <v>525</v>
      </c>
      <c r="C319" s="6" t="n">
        <v>17</v>
      </c>
      <c r="D319" s="6" t="n">
        <v>8</v>
      </c>
      <c r="E319" s="6" t="n">
        <v>25</v>
      </c>
      <c r="F319" s="6" t="n">
        <v>0</v>
      </c>
      <c r="G319" s="6" t="n">
        <v>1</v>
      </c>
      <c r="H319" s="6" t="n">
        <v>0</v>
      </c>
      <c r="I319" s="6" t="n">
        <v>1</v>
      </c>
      <c r="J319" s="6" t="n">
        <v>0</v>
      </c>
      <c r="K319" s="7" t="n">
        <f aca="false">IF(E319+F319=0,"",E319/(E319+F319))</f>
        <v>1</v>
      </c>
      <c r="L319" s="13" t="str">
        <f aca="false">IF(E319+I319&gt;0,"Yes","No")</f>
        <v>Yes</v>
      </c>
      <c r="M319" s="14" t="s">
        <v>526</v>
      </c>
    </row>
    <row r="320" customFormat="false" ht="15" hidden="false" customHeight="false" outlineLevel="0" collapsed="false">
      <c r="A320" s="9" t="n">
        <v>319</v>
      </c>
      <c r="B320" s="9" t="s">
        <v>393</v>
      </c>
      <c r="C320" s="10" t="n">
        <v>39</v>
      </c>
      <c r="D320" s="10" t="n">
        <v>14</v>
      </c>
      <c r="E320" s="10" t="n">
        <v>53</v>
      </c>
      <c r="F320" s="10" t="n">
        <v>0</v>
      </c>
      <c r="G320" s="10" t="n">
        <v>9</v>
      </c>
      <c r="H320" s="10" t="n">
        <v>2</v>
      </c>
      <c r="I320" s="10" t="n">
        <v>11</v>
      </c>
      <c r="J320" s="10" t="n">
        <v>1</v>
      </c>
      <c r="K320" s="11" t="n">
        <f aca="false">IF(E320+F320=0,"",E320/(E320+F320))</f>
        <v>1</v>
      </c>
      <c r="L320" s="9" t="str">
        <f aca="false">IF(E320+I320&gt;0,"Yes","No")</f>
        <v>Yes</v>
      </c>
      <c r="M320" s="12" t="s">
        <v>394</v>
      </c>
    </row>
    <row r="321" customFormat="false" ht="15" hidden="false" customHeight="false" outlineLevel="0" collapsed="false">
      <c r="A321" s="13" t="n">
        <v>320</v>
      </c>
      <c r="B321" s="13" t="s">
        <v>429</v>
      </c>
      <c r="C321" s="6" t="n">
        <v>25</v>
      </c>
      <c r="D321" s="6" t="n">
        <v>17</v>
      </c>
      <c r="E321" s="6" t="n">
        <v>42</v>
      </c>
      <c r="F321" s="6" t="n">
        <v>0</v>
      </c>
      <c r="G321" s="6" t="n">
        <v>7</v>
      </c>
      <c r="H321" s="6" t="n">
        <v>5</v>
      </c>
      <c r="I321" s="6" t="n">
        <v>12</v>
      </c>
      <c r="J321" s="6" t="n">
        <v>0</v>
      </c>
      <c r="K321" s="7" t="n">
        <f aca="false">IF(E321+F321=0,"",E321/(E321+F321))</f>
        <v>1</v>
      </c>
      <c r="L321" s="13" t="str">
        <f aca="false">IF(E321+I321&gt;0,"Yes","No")</f>
        <v>Yes</v>
      </c>
      <c r="M321" s="14" t="s">
        <v>430</v>
      </c>
    </row>
    <row r="322" customFormat="false" ht="15" hidden="false" customHeight="false" outlineLevel="0" collapsed="false">
      <c r="A322" s="9" t="n">
        <v>321</v>
      </c>
      <c r="B322" s="9" t="s">
        <v>795</v>
      </c>
      <c r="C322" s="10" t="n">
        <v>2</v>
      </c>
      <c r="D322" s="10" t="n">
        <v>2</v>
      </c>
      <c r="E322" s="10" t="n">
        <v>4</v>
      </c>
      <c r="F322" s="10" t="n">
        <v>0</v>
      </c>
      <c r="G322" s="10" t="n">
        <v>0</v>
      </c>
      <c r="H322" s="10" t="n">
        <v>0</v>
      </c>
      <c r="I322" s="10" t="n">
        <v>0</v>
      </c>
      <c r="J322" s="10" t="n">
        <v>0</v>
      </c>
      <c r="K322" s="11" t="n">
        <f aca="false">IF(E322+F322=0,"",E322/(E322+F322))</f>
        <v>1</v>
      </c>
      <c r="L322" s="9" t="str">
        <f aca="false">IF(E322+I322&gt;0,"Yes","No")</f>
        <v>Yes</v>
      </c>
      <c r="M322" s="12" t="s">
        <v>796</v>
      </c>
    </row>
    <row r="323" customFormat="false" ht="15" hidden="false" customHeight="false" outlineLevel="0" collapsed="false">
      <c r="A323" s="13" t="n">
        <v>322</v>
      </c>
      <c r="B323" s="13" t="s">
        <v>409</v>
      </c>
      <c r="C323" s="6" t="n">
        <v>26</v>
      </c>
      <c r="D323" s="6" t="n">
        <v>20</v>
      </c>
      <c r="E323" s="6" t="n">
        <v>46</v>
      </c>
      <c r="F323" s="6" t="n">
        <v>1</v>
      </c>
      <c r="G323" s="6" t="n">
        <v>5</v>
      </c>
      <c r="H323" s="6" t="n">
        <v>6</v>
      </c>
      <c r="I323" s="6" t="n">
        <v>11</v>
      </c>
      <c r="J323" s="6" t="n">
        <v>0</v>
      </c>
      <c r="K323" s="7" t="n">
        <f aca="false">IF(E323+F323=0,"",E323/(E323+F323))</f>
        <v>0.978723404255319</v>
      </c>
      <c r="L323" s="13" t="str">
        <f aca="false">IF(E323+I323&gt;0,"Yes","No")</f>
        <v>Yes</v>
      </c>
      <c r="M323" s="14" t="s">
        <v>410</v>
      </c>
    </row>
    <row r="324" customFormat="false" ht="15" hidden="false" customHeight="false" outlineLevel="0" collapsed="false">
      <c r="A324" s="9" t="n">
        <v>323</v>
      </c>
      <c r="B324" s="9" t="s">
        <v>399</v>
      </c>
      <c r="C324" s="10" t="n">
        <v>22</v>
      </c>
      <c r="D324" s="10" t="n">
        <v>26</v>
      </c>
      <c r="E324" s="10" t="n">
        <v>48</v>
      </c>
      <c r="F324" s="10" t="n">
        <v>0</v>
      </c>
      <c r="G324" s="10" t="n">
        <v>6</v>
      </c>
      <c r="H324" s="10" t="n">
        <v>3</v>
      </c>
      <c r="I324" s="10" t="n">
        <v>9</v>
      </c>
      <c r="J324" s="10" t="n">
        <v>0</v>
      </c>
      <c r="K324" s="11" t="n">
        <f aca="false">IF(E324+F324=0,"",E324/(E324+F324))</f>
        <v>1</v>
      </c>
      <c r="L324" s="9" t="str">
        <f aca="false">IF(E324+I324&gt;0,"Yes","No")</f>
        <v>Yes</v>
      </c>
      <c r="M324" s="12" t="s">
        <v>400</v>
      </c>
    </row>
    <row r="325" customFormat="false" ht="15" hidden="false" customHeight="false" outlineLevel="0" collapsed="false">
      <c r="A325" s="13" t="n">
        <v>324</v>
      </c>
      <c r="B325" s="13" t="s">
        <v>207</v>
      </c>
      <c r="C325" s="6" t="n">
        <v>100</v>
      </c>
      <c r="D325" s="6" t="n">
        <v>99</v>
      </c>
      <c r="E325" s="6" t="n">
        <v>199</v>
      </c>
      <c r="F325" s="6" t="n">
        <v>1</v>
      </c>
      <c r="G325" s="6" t="n">
        <v>17</v>
      </c>
      <c r="H325" s="6" t="n">
        <v>23</v>
      </c>
      <c r="I325" s="6" t="n">
        <v>40</v>
      </c>
      <c r="J325" s="6" t="n">
        <v>0</v>
      </c>
      <c r="K325" s="7" t="n">
        <f aca="false">IF(E325+F325=0,"",E325/(E325+F325))</f>
        <v>0.995</v>
      </c>
      <c r="L325" s="13" t="str">
        <f aca="false">IF(E325+I325&gt;0,"Yes","No")</f>
        <v>Yes</v>
      </c>
      <c r="M325" s="14" t="s">
        <v>208</v>
      </c>
    </row>
    <row r="326" customFormat="false" ht="15" hidden="false" customHeight="false" outlineLevel="0" collapsed="false">
      <c r="A326" s="9" t="n">
        <v>325</v>
      </c>
      <c r="B326" s="9" t="s">
        <v>769</v>
      </c>
      <c r="C326" s="10" t="n">
        <v>2</v>
      </c>
      <c r="D326" s="10" t="n">
        <v>2</v>
      </c>
      <c r="E326" s="10" t="n">
        <v>4</v>
      </c>
      <c r="F326" s="10" t="n">
        <v>0</v>
      </c>
      <c r="G326" s="10" t="n">
        <v>3</v>
      </c>
      <c r="H326" s="10" t="n">
        <v>1</v>
      </c>
      <c r="I326" s="10" t="n">
        <v>4</v>
      </c>
      <c r="J326" s="10" t="n">
        <v>0</v>
      </c>
      <c r="K326" s="11" t="n">
        <f aca="false">IF(E326+F326=0,"",E326/(E326+F326))</f>
        <v>1</v>
      </c>
      <c r="L326" s="9" t="str">
        <f aca="false">IF(E326+I326&gt;0,"Yes","No")</f>
        <v>Yes</v>
      </c>
      <c r="M326" s="12" t="s">
        <v>770</v>
      </c>
    </row>
    <row r="327" customFormat="false" ht="15" hidden="false" customHeight="false" outlineLevel="0" collapsed="false">
      <c r="A327" s="13" t="n">
        <v>326</v>
      </c>
      <c r="B327" s="13" t="s">
        <v>195</v>
      </c>
      <c r="C327" s="6" t="n">
        <v>94</v>
      </c>
      <c r="D327" s="6" t="n">
        <v>123</v>
      </c>
      <c r="E327" s="6" t="n">
        <v>217</v>
      </c>
      <c r="F327" s="6" t="n">
        <v>1</v>
      </c>
      <c r="G327" s="6" t="n">
        <v>12</v>
      </c>
      <c r="H327" s="6" t="n">
        <v>28</v>
      </c>
      <c r="I327" s="6" t="n">
        <v>40</v>
      </c>
      <c r="J327" s="6" t="n">
        <v>0</v>
      </c>
      <c r="K327" s="7" t="n">
        <f aca="false">IF(E327+F327=0,"",E327/(E327+F327))</f>
        <v>0.995412844036697</v>
      </c>
      <c r="L327" s="13" t="str">
        <f aca="false">IF(E327+I327&gt;0,"Yes","No")</f>
        <v>Yes</v>
      </c>
      <c r="M327" s="14" t="s">
        <v>196</v>
      </c>
    </row>
    <row r="328" customFormat="false" ht="15" hidden="false" customHeight="false" outlineLevel="0" collapsed="false">
      <c r="A328" s="9" t="n">
        <v>327</v>
      </c>
      <c r="B328" s="9" t="s">
        <v>879</v>
      </c>
      <c r="C328" s="10" t="n">
        <v>1</v>
      </c>
      <c r="D328" s="10" t="n">
        <v>0</v>
      </c>
      <c r="E328" s="10" t="n">
        <v>1</v>
      </c>
      <c r="F328" s="10" t="n">
        <v>0</v>
      </c>
      <c r="G328" s="10" t="n">
        <v>0</v>
      </c>
      <c r="H328" s="10" t="n">
        <v>0</v>
      </c>
      <c r="I328" s="10" t="n">
        <v>0</v>
      </c>
      <c r="J328" s="10" t="n">
        <v>0</v>
      </c>
      <c r="K328" s="11" t="n">
        <f aca="false">IF(E328+F328=0,"",E328/(E328+F328))</f>
        <v>1</v>
      </c>
      <c r="L328" s="9" t="str">
        <f aca="false">IF(E328+I328&gt;0,"Yes","No")</f>
        <v>Yes</v>
      </c>
      <c r="M328" s="12" t="s">
        <v>880</v>
      </c>
    </row>
    <row r="329" customFormat="false" ht="15" hidden="false" customHeight="false" outlineLevel="0" collapsed="false">
      <c r="A329" s="13" t="n">
        <v>328</v>
      </c>
      <c r="B329" s="13" t="s">
        <v>305</v>
      </c>
      <c r="C329" s="6" t="n">
        <v>41</v>
      </c>
      <c r="D329" s="6" t="n">
        <v>58</v>
      </c>
      <c r="E329" s="6" t="n">
        <v>99</v>
      </c>
      <c r="F329" s="6" t="n">
        <v>1</v>
      </c>
      <c r="G329" s="6" t="n">
        <v>5</v>
      </c>
      <c r="H329" s="6" t="n">
        <v>15</v>
      </c>
      <c r="I329" s="6" t="n">
        <v>20</v>
      </c>
      <c r="J329" s="6" t="n">
        <v>0</v>
      </c>
      <c r="K329" s="7" t="n">
        <f aca="false">IF(E329+F329=0,"",E329/(E329+F329))</f>
        <v>0.99</v>
      </c>
      <c r="L329" s="13" t="str">
        <f aca="false">IF(E329+I329&gt;0,"Yes","No")</f>
        <v>Yes</v>
      </c>
      <c r="M329" s="14" t="s">
        <v>306</v>
      </c>
    </row>
    <row r="330" customFormat="false" ht="15" hidden="false" customHeight="false" outlineLevel="0" collapsed="false">
      <c r="A330" s="9" t="n">
        <v>329</v>
      </c>
      <c r="B330" s="9" t="s">
        <v>910</v>
      </c>
      <c r="C330" s="10" t="n">
        <v>0</v>
      </c>
      <c r="D330" s="10" t="n">
        <v>0</v>
      </c>
      <c r="E330" s="10" t="n">
        <v>0</v>
      </c>
      <c r="F330" s="10" t="n">
        <v>0</v>
      </c>
      <c r="G330" s="10" t="n">
        <v>0</v>
      </c>
      <c r="H330" s="10" t="n">
        <v>0</v>
      </c>
      <c r="I330" s="10" t="n">
        <v>0</v>
      </c>
      <c r="J330" s="10" t="n">
        <v>0</v>
      </c>
      <c r="K330" s="11" t="str">
        <f aca="false">IF(E330+F330=0,"",E330/(E330+F330))</f>
        <v/>
      </c>
      <c r="L330" s="9" t="str">
        <f aca="false">IF(E330+I330&gt;0,"Yes","No")</f>
        <v>No</v>
      </c>
      <c r="M330" s="12"/>
    </row>
    <row r="331" customFormat="false" ht="15" hidden="false" customHeight="false" outlineLevel="0" collapsed="false">
      <c r="A331" s="13" t="n">
        <v>330</v>
      </c>
      <c r="B331" s="13" t="s">
        <v>197</v>
      </c>
      <c r="C331" s="6" t="n">
        <v>106</v>
      </c>
      <c r="D331" s="6" t="n">
        <v>111</v>
      </c>
      <c r="E331" s="6" t="n">
        <v>217</v>
      </c>
      <c r="F331" s="6" t="n">
        <v>7</v>
      </c>
      <c r="G331" s="6" t="n">
        <v>10</v>
      </c>
      <c r="H331" s="6" t="n">
        <v>15</v>
      </c>
      <c r="I331" s="6" t="n">
        <v>25</v>
      </c>
      <c r="J331" s="6" t="n">
        <v>2</v>
      </c>
      <c r="K331" s="7" t="n">
        <f aca="false">IF(E331+F331=0,"",E331/(E331+F331))</f>
        <v>0.96875</v>
      </c>
      <c r="L331" s="13" t="str">
        <f aca="false">IF(E331+I331&gt;0,"Yes","No")</f>
        <v>Yes</v>
      </c>
      <c r="M331" s="14" t="s">
        <v>198</v>
      </c>
    </row>
    <row r="332" customFormat="false" ht="15" hidden="false" customHeight="false" outlineLevel="0" collapsed="false">
      <c r="A332" s="9" t="n">
        <v>331</v>
      </c>
      <c r="B332" s="9" t="s">
        <v>363</v>
      </c>
      <c r="C332" s="10" t="n">
        <v>32</v>
      </c>
      <c r="D332" s="10" t="n">
        <v>34</v>
      </c>
      <c r="E332" s="10" t="n">
        <v>66</v>
      </c>
      <c r="F332" s="10" t="n">
        <v>1</v>
      </c>
      <c r="G332" s="10" t="n">
        <v>11</v>
      </c>
      <c r="H332" s="10" t="n">
        <v>14</v>
      </c>
      <c r="I332" s="10" t="n">
        <v>25</v>
      </c>
      <c r="J332" s="10" t="n">
        <v>0</v>
      </c>
      <c r="K332" s="11" t="n">
        <f aca="false">IF(E332+F332=0,"",E332/(E332+F332))</f>
        <v>0.985074626865672</v>
      </c>
      <c r="L332" s="9" t="str">
        <f aca="false">IF(E332+I332&gt;0,"Yes","No")</f>
        <v>Yes</v>
      </c>
      <c r="M332" s="12" t="s">
        <v>364</v>
      </c>
    </row>
    <row r="333" customFormat="false" ht="15" hidden="false" customHeight="false" outlineLevel="0" collapsed="false">
      <c r="A333" s="13" t="n">
        <v>332</v>
      </c>
      <c r="B333" s="13" t="s">
        <v>471</v>
      </c>
      <c r="C333" s="6" t="n">
        <v>29</v>
      </c>
      <c r="D333" s="6" t="n">
        <v>4</v>
      </c>
      <c r="E333" s="6" t="n">
        <v>33</v>
      </c>
      <c r="F333" s="6" t="n">
        <v>0</v>
      </c>
      <c r="G333" s="6" t="n">
        <v>6</v>
      </c>
      <c r="H333" s="6" t="n">
        <v>1</v>
      </c>
      <c r="I333" s="6" t="n">
        <v>7</v>
      </c>
      <c r="J333" s="6" t="n">
        <v>0</v>
      </c>
      <c r="K333" s="7" t="n">
        <f aca="false">IF(E333+F333=0,"",E333/(E333+F333))</f>
        <v>1</v>
      </c>
      <c r="L333" s="13" t="str">
        <f aca="false">IF(E333+I333&gt;0,"Yes","No")</f>
        <v>Yes</v>
      </c>
      <c r="M333" s="14" t="s">
        <v>472</v>
      </c>
    </row>
    <row r="334" customFormat="false" ht="15" hidden="false" customHeight="false" outlineLevel="0" collapsed="false">
      <c r="A334" s="9" t="n">
        <v>333</v>
      </c>
      <c r="B334" s="9" t="s">
        <v>911</v>
      </c>
      <c r="C334" s="10" t="n">
        <v>0</v>
      </c>
      <c r="D334" s="10" t="n">
        <v>0</v>
      </c>
      <c r="E334" s="10" t="n">
        <v>0</v>
      </c>
      <c r="F334" s="10" t="n">
        <v>0</v>
      </c>
      <c r="G334" s="10" t="n">
        <v>0</v>
      </c>
      <c r="H334" s="10" t="n">
        <v>0</v>
      </c>
      <c r="I334" s="10" t="n">
        <v>0</v>
      </c>
      <c r="J334" s="10" t="n">
        <v>0</v>
      </c>
      <c r="K334" s="11" t="str">
        <f aca="false">IF(E334+F334=0,"",E334/(E334+F334))</f>
        <v/>
      </c>
      <c r="L334" s="9" t="str">
        <f aca="false">IF(E334+I334&gt;0,"Yes","No")</f>
        <v>No</v>
      </c>
      <c r="M334" s="12"/>
    </row>
    <row r="335" customFormat="false" ht="15" hidden="false" customHeight="false" outlineLevel="0" collapsed="false">
      <c r="A335" s="13" t="n">
        <v>334</v>
      </c>
      <c r="B335" s="13" t="s">
        <v>219</v>
      </c>
      <c r="C335" s="6" t="n">
        <v>110</v>
      </c>
      <c r="D335" s="6" t="n">
        <v>69</v>
      </c>
      <c r="E335" s="6" t="n">
        <v>179</v>
      </c>
      <c r="F335" s="6" t="n">
        <v>2</v>
      </c>
      <c r="G335" s="6" t="n">
        <v>31</v>
      </c>
      <c r="H335" s="6" t="n">
        <v>4</v>
      </c>
      <c r="I335" s="6" t="n">
        <v>35</v>
      </c>
      <c r="J335" s="6" t="n">
        <v>1</v>
      </c>
      <c r="K335" s="7" t="n">
        <f aca="false">IF(E335+F335=0,"",E335/(E335+F335))</f>
        <v>0.988950276243094</v>
      </c>
      <c r="L335" s="13" t="str">
        <f aca="false">IF(E335+I335&gt;0,"Yes","No")</f>
        <v>Yes</v>
      </c>
      <c r="M335" s="14" t="s">
        <v>220</v>
      </c>
    </row>
    <row r="336" customFormat="false" ht="15" hidden="false" customHeight="false" outlineLevel="0" collapsed="false">
      <c r="A336" s="9" t="n">
        <v>335</v>
      </c>
      <c r="B336" s="9" t="s">
        <v>453</v>
      </c>
      <c r="C336" s="10" t="n">
        <v>33</v>
      </c>
      <c r="D336" s="10" t="n">
        <v>6</v>
      </c>
      <c r="E336" s="10" t="n">
        <v>39</v>
      </c>
      <c r="F336" s="10" t="n">
        <v>0</v>
      </c>
      <c r="G336" s="10" t="n">
        <v>9</v>
      </c>
      <c r="H336" s="10" t="n">
        <v>0</v>
      </c>
      <c r="I336" s="10" t="n">
        <v>9</v>
      </c>
      <c r="J336" s="10" t="n">
        <v>0</v>
      </c>
      <c r="K336" s="11" t="n">
        <f aca="false">IF(E336+F336=0,"",E336/(E336+F336))</f>
        <v>1</v>
      </c>
      <c r="L336" s="9" t="str">
        <f aca="false">IF(E336+I336&gt;0,"Yes","No")</f>
        <v>Yes</v>
      </c>
      <c r="M336" s="12" t="s">
        <v>454</v>
      </c>
    </row>
    <row r="337" customFormat="false" ht="15" hidden="false" customHeight="false" outlineLevel="0" collapsed="false">
      <c r="A337" s="13" t="n">
        <v>336</v>
      </c>
      <c r="B337" s="13" t="s">
        <v>659</v>
      </c>
      <c r="C337" s="6" t="n">
        <v>5</v>
      </c>
      <c r="D337" s="6" t="n">
        <v>7</v>
      </c>
      <c r="E337" s="6" t="n">
        <v>12</v>
      </c>
      <c r="F337" s="6" t="n">
        <v>0</v>
      </c>
      <c r="G337" s="6" t="n">
        <v>0</v>
      </c>
      <c r="H337" s="6" t="n">
        <v>0</v>
      </c>
      <c r="I337" s="6" t="n">
        <v>0</v>
      </c>
      <c r="J337" s="6" t="n">
        <v>0</v>
      </c>
      <c r="K337" s="7" t="n">
        <f aca="false">IF(E337+F337=0,"",E337/(E337+F337))</f>
        <v>1</v>
      </c>
      <c r="L337" s="13" t="str">
        <f aca="false">IF(E337+I337&gt;0,"Yes","No")</f>
        <v>Yes</v>
      </c>
      <c r="M337" s="14" t="s">
        <v>660</v>
      </c>
    </row>
    <row r="338" customFormat="false" ht="15" hidden="false" customHeight="false" outlineLevel="0" collapsed="false">
      <c r="A338" s="9" t="n">
        <v>337</v>
      </c>
      <c r="B338" s="9" t="s">
        <v>797</v>
      </c>
      <c r="C338" s="10" t="n">
        <v>3</v>
      </c>
      <c r="D338" s="10" t="n">
        <v>1</v>
      </c>
      <c r="E338" s="10" t="n">
        <v>4</v>
      </c>
      <c r="F338" s="10" t="n">
        <v>0</v>
      </c>
      <c r="G338" s="10" t="n">
        <v>0</v>
      </c>
      <c r="H338" s="10" t="n">
        <v>0</v>
      </c>
      <c r="I338" s="10" t="n">
        <v>0</v>
      </c>
      <c r="J338" s="10" t="n">
        <v>0</v>
      </c>
      <c r="K338" s="11" t="n">
        <f aca="false">IF(E338+F338=0,"",E338/(E338+F338))</f>
        <v>1</v>
      </c>
      <c r="L338" s="9" t="str">
        <f aca="false">IF(E338+I338&gt;0,"Yes","No")</f>
        <v>Yes</v>
      </c>
      <c r="M338" s="12" t="s">
        <v>798</v>
      </c>
    </row>
    <row r="339" customFormat="false" ht="15" hidden="false" customHeight="false" outlineLevel="0" collapsed="false">
      <c r="A339" s="13" t="n">
        <v>338</v>
      </c>
      <c r="B339" s="13" t="s">
        <v>163</v>
      </c>
      <c r="C339" s="6" t="n">
        <v>119</v>
      </c>
      <c r="D339" s="6" t="n">
        <v>159</v>
      </c>
      <c r="E339" s="6" t="n">
        <v>278</v>
      </c>
      <c r="F339" s="6" t="n">
        <v>4</v>
      </c>
      <c r="G339" s="6" t="n">
        <v>45</v>
      </c>
      <c r="H339" s="6" t="n">
        <v>29</v>
      </c>
      <c r="I339" s="6" t="n">
        <v>74</v>
      </c>
      <c r="J339" s="6" t="n">
        <v>5</v>
      </c>
      <c r="K339" s="7" t="n">
        <f aca="false">IF(E339+F339=0,"",E339/(E339+F339))</f>
        <v>0.985815602836879</v>
      </c>
      <c r="L339" s="13" t="str">
        <f aca="false">IF(E339+I339&gt;0,"Yes","No")</f>
        <v>Yes</v>
      </c>
      <c r="M339" s="14" t="s">
        <v>164</v>
      </c>
    </row>
    <row r="340" customFormat="false" ht="15" hidden="false" customHeight="false" outlineLevel="0" collapsed="false">
      <c r="A340" s="9" t="n">
        <v>339</v>
      </c>
      <c r="B340" s="9" t="s">
        <v>912</v>
      </c>
      <c r="C340" s="10" t="n">
        <v>0</v>
      </c>
      <c r="D340" s="10" t="n">
        <v>0</v>
      </c>
      <c r="E340" s="10" t="n">
        <v>0</v>
      </c>
      <c r="F340" s="10" t="n">
        <v>0</v>
      </c>
      <c r="G340" s="10" t="n">
        <v>0</v>
      </c>
      <c r="H340" s="10" t="n">
        <v>0</v>
      </c>
      <c r="I340" s="10" t="n">
        <v>0</v>
      </c>
      <c r="J340" s="10" t="n">
        <v>0</v>
      </c>
      <c r="K340" s="11" t="str">
        <f aca="false">IF(E340+F340=0,"",E340/(E340+F340))</f>
        <v/>
      </c>
      <c r="L340" s="9" t="str">
        <f aca="false">IF(E340+I340&gt;0,"Yes","No")</f>
        <v>No</v>
      </c>
      <c r="M340" s="12"/>
    </row>
    <row r="341" customFormat="false" ht="15" hidden="false" customHeight="false" outlineLevel="0" collapsed="false">
      <c r="A341" s="13" t="n">
        <v>340</v>
      </c>
      <c r="B341" s="13" t="s">
        <v>777</v>
      </c>
      <c r="C341" s="6" t="n">
        <v>2</v>
      </c>
      <c r="D341" s="6" t="n">
        <v>2</v>
      </c>
      <c r="E341" s="6" t="n">
        <v>4</v>
      </c>
      <c r="F341" s="6" t="n">
        <v>0</v>
      </c>
      <c r="G341" s="6" t="n">
        <v>1</v>
      </c>
      <c r="H341" s="6" t="n">
        <v>1</v>
      </c>
      <c r="I341" s="6" t="n">
        <v>2</v>
      </c>
      <c r="J341" s="6" t="n">
        <v>1</v>
      </c>
      <c r="K341" s="7" t="n">
        <f aca="false">IF(E341+F341=0,"",E341/(E341+F341))</f>
        <v>1</v>
      </c>
      <c r="L341" s="13" t="str">
        <f aca="false">IF(E341+I341&gt;0,"Yes","No")</f>
        <v>Yes</v>
      </c>
      <c r="M341" s="14" t="s">
        <v>778</v>
      </c>
    </row>
    <row r="342" customFormat="false" ht="15" hidden="false" customHeight="false" outlineLevel="0" collapsed="false">
      <c r="A342" s="9" t="n">
        <v>341</v>
      </c>
      <c r="B342" s="9" t="s">
        <v>695</v>
      </c>
      <c r="C342" s="10" t="n">
        <v>4</v>
      </c>
      <c r="D342" s="10" t="n">
        <v>5</v>
      </c>
      <c r="E342" s="10" t="n">
        <v>9</v>
      </c>
      <c r="F342" s="10" t="n">
        <v>0</v>
      </c>
      <c r="G342" s="10" t="n">
        <v>0</v>
      </c>
      <c r="H342" s="10" t="n">
        <v>2</v>
      </c>
      <c r="I342" s="10" t="n">
        <v>2</v>
      </c>
      <c r="J342" s="10" t="n">
        <v>0</v>
      </c>
      <c r="K342" s="11" t="n">
        <f aca="false">IF(E342+F342=0,"",E342/(E342+F342))</f>
        <v>1</v>
      </c>
      <c r="L342" s="9" t="str">
        <f aca="false">IF(E342+I342&gt;0,"Yes","No")</f>
        <v>Yes</v>
      </c>
      <c r="M342" s="12" t="s">
        <v>696</v>
      </c>
    </row>
    <row r="343" customFormat="false" ht="15" hidden="false" customHeight="false" outlineLevel="0" collapsed="false">
      <c r="A343" s="13" t="n">
        <v>342</v>
      </c>
      <c r="B343" s="13" t="s">
        <v>215</v>
      </c>
      <c r="C343" s="6" t="n">
        <v>63</v>
      </c>
      <c r="D343" s="6" t="n">
        <v>121</v>
      </c>
      <c r="E343" s="6" t="n">
        <v>184</v>
      </c>
      <c r="F343" s="6" t="n">
        <v>1</v>
      </c>
      <c r="G343" s="6" t="n">
        <v>5</v>
      </c>
      <c r="H343" s="6" t="n">
        <v>30</v>
      </c>
      <c r="I343" s="6" t="n">
        <v>35</v>
      </c>
      <c r="J343" s="6" t="n">
        <v>0</v>
      </c>
      <c r="K343" s="7" t="n">
        <f aca="false">IF(E343+F343=0,"",E343/(E343+F343))</f>
        <v>0.994594594594595</v>
      </c>
      <c r="L343" s="13" t="str">
        <f aca="false">IF(E343+I343&gt;0,"Yes","No")</f>
        <v>Yes</v>
      </c>
      <c r="M343" s="14" t="s">
        <v>216</v>
      </c>
    </row>
    <row r="344" customFormat="false" ht="15" hidden="false" customHeight="false" outlineLevel="0" collapsed="false">
      <c r="A344" s="9" t="n">
        <v>343</v>
      </c>
      <c r="B344" s="9" t="s">
        <v>753</v>
      </c>
      <c r="C344" s="10" t="n">
        <v>4</v>
      </c>
      <c r="D344" s="10" t="n">
        <v>1</v>
      </c>
      <c r="E344" s="10" t="n">
        <v>5</v>
      </c>
      <c r="F344" s="10" t="n">
        <v>0</v>
      </c>
      <c r="G344" s="10" t="n">
        <v>2</v>
      </c>
      <c r="H344" s="10" t="n">
        <v>0</v>
      </c>
      <c r="I344" s="10" t="n">
        <v>2</v>
      </c>
      <c r="J344" s="10" t="n">
        <v>0</v>
      </c>
      <c r="K344" s="11" t="n">
        <f aca="false">IF(E344+F344=0,"",E344/(E344+F344))</f>
        <v>1</v>
      </c>
      <c r="L344" s="9" t="str">
        <f aca="false">IF(E344+I344&gt;0,"Yes","No")</f>
        <v>Yes</v>
      </c>
      <c r="M344" s="12" t="s">
        <v>754</v>
      </c>
    </row>
    <row r="345" customFormat="false" ht="15" hidden="false" customHeight="false" outlineLevel="0" collapsed="false">
      <c r="A345" s="13" t="n">
        <v>344</v>
      </c>
      <c r="B345" s="13" t="s">
        <v>425</v>
      </c>
      <c r="C345" s="6" t="n">
        <v>11</v>
      </c>
      <c r="D345" s="6" t="n">
        <v>33</v>
      </c>
      <c r="E345" s="6" t="n">
        <v>44</v>
      </c>
      <c r="F345" s="6" t="n">
        <v>0</v>
      </c>
      <c r="G345" s="6" t="n">
        <v>1</v>
      </c>
      <c r="H345" s="6" t="n">
        <v>4</v>
      </c>
      <c r="I345" s="6" t="n">
        <v>5</v>
      </c>
      <c r="J345" s="6" t="n">
        <v>0</v>
      </c>
      <c r="K345" s="7" t="n">
        <f aca="false">IF(E345+F345=0,"",E345/(E345+F345))</f>
        <v>1</v>
      </c>
      <c r="L345" s="13" t="str">
        <f aca="false">IF(E345+I345&gt;0,"Yes","No")</f>
        <v>Yes</v>
      </c>
      <c r="M345" s="14" t="s">
        <v>426</v>
      </c>
    </row>
    <row r="346" customFormat="false" ht="15" hidden="false" customHeight="false" outlineLevel="0" collapsed="false">
      <c r="A346" s="9" t="n">
        <v>345</v>
      </c>
      <c r="B346" s="9" t="s">
        <v>667</v>
      </c>
      <c r="C346" s="10" t="n">
        <v>3</v>
      </c>
      <c r="D346" s="10" t="n">
        <v>8</v>
      </c>
      <c r="E346" s="10" t="n">
        <v>11</v>
      </c>
      <c r="F346" s="10" t="n">
        <v>0</v>
      </c>
      <c r="G346" s="10" t="n">
        <v>2</v>
      </c>
      <c r="H346" s="10" t="n">
        <v>1</v>
      </c>
      <c r="I346" s="10" t="n">
        <v>3</v>
      </c>
      <c r="J346" s="10" t="n">
        <v>0</v>
      </c>
      <c r="K346" s="11" t="n">
        <f aca="false">IF(E346+F346=0,"",E346/(E346+F346))</f>
        <v>1</v>
      </c>
      <c r="L346" s="9" t="str">
        <f aca="false">IF(E346+I346&gt;0,"Yes","No")</f>
        <v>Yes</v>
      </c>
      <c r="M346" s="12" t="s">
        <v>668</v>
      </c>
    </row>
    <row r="347" customFormat="false" ht="15" hidden="false" customHeight="false" outlineLevel="0" collapsed="false">
      <c r="A347" s="13" t="n">
        <v>346</v>
      </c>
      <c r="B347" s="13" t="s">
        <v>317</v>
      </c>
      <c r="C347" s="6" t="n">
        <v>65</v>
      </c>
      <c r="D347" s="6" t="n">
        <v>24</v>
      </c>
      <c r="E347" s="6" t="n">
        <v>89</v>
      </c>
      <c r="F347" s="6" t="n">
        <v>0</v>
      </c>
      <c r="G347" s="6" t="n">
        <v>43</v>
      </c>
      <c r="H347" s="6" t="n">
        <v>13</v>
      </c>
      <c r="I347" s="6" t="n">
        <v>56</v>
      </c>
      <c r="J347" s="6" t="n">
        <v>0</v>
      </c>
      <c r="K347" s="7" t="n">
        <f aca="false">IF(E347+F347=0,"",E347/(E347+F347))</f>
        <v>1</v>
      </c>
      <c r="L347" s="13" t="str">
        <f aca="false">IF(E347+I347&gt;0,"Yes","No")</f>
        <v>Yes</v>
      </c>
      <c r="M347" s="14" t="s">
        <v>318</v>
      </c>
    </row>
    <row r="348" customFormat="false" ht="15" hidden="false" customHeight="false" outlineLevel="0" collapsed="false">
      <c r="A348" s="9" t="n">
        <v>347</v>
      </c>
      <c r="B348" s="9" t="s">
        <v>235</v>
      </c>
      <c r="C348" s="10" t="n">
        <v>83</v>
      </c>
      <c r="D348" s="10" t="n">
        <v>67</v>
      </c>
      <c r="E348" s="10" t="n">
        <v>150</v>
      </c>
      <c r="F348" s="10" t="n">
        <v>4</v>
      </c>
      <c r="G348" s="10" t="n">
        <v>36</v>
      </c>
      <c r="H348" s="10" t="n">
        <v>6</v>
      </c>
      <c r="I348" s="10" t="n">
        <v>42</v>
      </c>
      <c r="J348" s="10" t="n">
        <v>1</v>
      </c>
      <c r="K348" s="11" t="n">
        <f aca="false">IF(E348+F348=0,"",E348/(E348+F348))</f>
        <v>0.974025974025974</v>
      </c>
      <c r="L348" s="9" t="str">
        <f aca="false">IF(E348+I348&gt;0,"Yes","No")</f>
        <v>Yes</v>
      </c>
      <c r="M348" s="12" t="s">
        <v>236</v>
      </c>
    </row>
    <row r="349" customFormat="false" ht="15" hidden="false" customHeight="false" outlineLevel="0" collapsed="false">
      <c r="A349" s="13" t="n">
        <v>348</v>
      </c>
      <c r="B349" s="13" t="s">
        <v>291</v>
      </c>
      <c r="C349" s="6" t="n">
        <v>88</v>
      </c>
      <c r="D349" s="6" t="n">
        <v>22</v>
      </c>
      <c r="E349" s="6" t="n">
        <v>110</v>
      </c>
      <c r="F349" s="6" t="n">
        <v>1</v>
      </c>
      <c r="G349" s="6" t="n">
        <v>52</v>
      </c>
      <c r="H349" s="6" t="n">
        <v>7</v>
      </c>
      <c r="I349" s="6" t="n">
        <v>59</v>
      </c>
      <c r="J349" s="6" t="n">
        <v>1</v>
      </c>
      <c r="K349" s="7" t="n">
        <f aca="false">IF(E349+F349=0,"",E349/(E349+F349))</f>
        <v>0.990990990990991</v>
      </c>
      <c r="L349" s="13" t="str">
        <f aca="false">IF(E349+I349&gt;0,"Yes","No")</f>
        <v>Yes</v>
      </c>
      <c r="M349" s="14" t="s">
        <v>292</v>
      </c>
    </row>
    <row r="350" customFormat="false" ht="15" hidden="false" customHeight="false" outlineLevel="0" collapsed="false">
      <c r="A350" s="9" t="n">
        <v>349</v>
      </c>
      <c r="B350" s="9" t="s">
        <v>655</v>
      </c>
      <c r="C350" s="10" t="n">
        <v>2</v>
      </c>
      <c r="D350" s="10" t="n">
        <v>10</v>
      </c>
      <c r="E350" s="10" t="n">
        <v>12</v>
      </c>
      <c r="F350" s="10" t="n">
        <v>0</v>
      </c>
      <c r="G350" s="10" t="n">
        <v>1</v>
      </c>
      <c r="H350" s="10" t="n">
        <v>1</v>
      </c>
      <c r="I350" s="10" t="n">
        <v>2</v>
      </c>
      <c r="J350" s="10" t="n">
        <v>0</v>
      </c>
      <c r="K350" s="11" t="n">
        <f aca="false">IF(E350+F350=0,"",E350/(E350+F350))</f>
        <v>1</v>
      </c>
      <c r="L350" s="9" t="str">
        <f aca="false">IF(E350+I350&gt;0,"Yes","No")</f>
        <v>Yes</v>
      </c>
      <c r="M350" s="12" t="s">
        <v>656</v>
      </c>
    </row>
    <row r="351" customFormat="false" ht="15" hidden="false" customHeight="false" outlineLevel="0" collapsed="false">
      <c r="A351" s="13" t="n">
        <v>350</v>
      </c>
      <c r="B351" s="13" t="s">
        <v>913</v>
      </c>
      <c r="C351" s="6" t="n">
        <v>0</v>
      </c>
      <c r="D351" s="6" t="n">
        <v>0</v>
      </c>
      <c r="E351" s="6" t="n">
        <v>0</v>
      </c>
      <c r="F351" s="6" t="n">
        <v>0</v>
      </c>
      <c r="G351" s="6" t="n">
        <v>0</v>
      </c>
      <c r="H351" s="6" t="n">
        <v>0</v>
      </c>
      <c r="I351" s="6" t="n">
        <v>0</v>
      </c>
      <c r="J351" s="6" t="n">
        <v>0</v>
      </c>
      <c r="K351" s="7" t="str">
        <f aca="false">IF(E351+F351=0,"",E351/(E351+F351))</f>
        <v/>
      </c>
      <c r="L351" s="13" t="str">
        <f aca="false">IF(E351+I351&gt;0,"Yes","No")</f>
        <v>No</v>
      </c>
      <c r="M351" s="14"/>
    </row>
    <row r="352" customFormat="false" ht="15" hidden="false" customHeight="false" outlineLevel="0" collapsed="false">
      <c r="A352" s="9" t="n">
        <v>351</v>
      </c>
      <c r="B352" s="9" t="s">
        <v>914</v>
      </c>
      <c r="C352" s="10" t="n">
        <v>0</v>
      </c>
      <c r="D352" s="10" t="n">
        <v>0</v>
      </c>
      <c r="E352" s="10" t="n">
        <v>0</v>
      </c>
      <c r="F352" s="10" t="n">
        <v>0</v>
      </c>
      <c r="G352" s="10" t="n">
        <v>0</v>
      </c>
      <c r="H352" s="10" t="n">
        <v>0</v>
      </c>
      <c r="I352" s="10" t="n">
        <v>0</v>
      </c>
      <c r="J352" s="10" t="n">
        <v>0</v>
      </c>
      <c r="K352" s="11" t="str">
        <f aca="false">IF(E352+F352=0,"",E352/(E352+F352))</f>
        <v/>
      </c>
      <c r="L352" s="9" t="str">
        <f aca="false">IF(E352+I352&gt;0,"Yes","No")</f>
        <v>No</v>
      </c>
      <c r="M352" s="12"/>
    </row>
    <row r="353" customFormat="false" ht="15" hidden="false" customHeight="false" outlineLevel="0" collapsed="false">
      <c r="A353" s="13" t="n">
        <v>352</v>
      </c>
      <c r="B353" s="13" t="s">
        <v>915</v>
      </c>
      <c r="C353" s="6" t="n">
        <v>0</v>
      </c>
      <c r="D353" s="6" t="n">
        <v>0</v>
      </c>
      <c r="E353" s="6" t="n">
        <v>0</v>
      </c>
      <c r="F353" s="6" t="n">
        <v>0</v>
      </c>
      <c r="G353" s="6" t="n">
        <v>0</v>
      </c>
      <c r="H353" s="6" t="n">
        <v>0</v>
      </c>
      <c r="I353" s="6" t="n">
        <v>0</v>
      </c>
      <c r="J353" s="6" t="n">
        <v>0</v>
      </c>
      <c r="K353" s="7" t="str">
        <f aca="false">IF(E353+F353=0,"",E353/(E353+F353))</f>
        <v/>
      </c>
      <c r="L353" s="13" t="str">
        <f aca="false">IF(E353+I353&gt;0,"Yes","No")</f>
        <v>No</v>
      </c>
      <c r="M353" s="14"/>
    </row>
    <row r="354" customFormat="false" ht="15" hidden="false" customHeight="false" outlineLevel="0" collapsed="false">
      <c r="A354" s="9" t="n">
        <v>353</v>
      </c>
      <c r="B354" s="9" t="s">
        <v>641</v>
      </c>
      <c r="C354" s="10" t="n">
        <v>5</v>
      </c>
      <c r="D354" s="10" t="n">
        <v>8</v>
      </c>
      <c r="E354" s="10" t="n">
        <v>13</v>
      </c>
      <c r="F354" s="10" t="n">
        <v>0</v>
      </c>
      <c r="G354" s="10" t="n">
        <v>1</v>
      </c>
      <c r="H354" s="10" t="n">
        <v>1</v>
      </c>
      <c r="I354" s="10" t="n">
        <v>2</v>
      </c>
      <c r="J354" s="10" t="n">
        <v>0</v>
      </c>
      <c r="K354" s="11" t="n">
        <f aca="false">IF(E354+F354=0,"",E354/(E354+F354))</f>
        <v>1</v>
      </c>
      <c r="L354" s="9" t="str">
        <f aca="false">IF(E354+I354&gt;0,"Yes","No")</f>
        <v>Yes</v>
      </c>
      <c r="M354" s="12" t="s">
        <v>642</v>
      </c>
    </row>
    <row r="355" customFormat="false" ht="15" hidden="false" customHeight="false" outlineLevel="0" collapsed="false">
      <c r="A355" s="13" t="n">
        <v>354</v>
      </c>
      <c r="B355" s="13" t="s">
        <v>755</v>
      </c>
      <c r="C355" s="6" t="n">
        <v>4</v>
      </c>
      <c r="D355" s="6" t="n">
        <v>1</v>
      </c>
      <c r="E355" s="6" t="n">
        <v>5</v>
      </c>
      <c r="F355" s="6" t="n">
        <v>0</v>
      </c>
      <c r="G355" s="6" t="n">
        <v>2</v>
      </c>
      <c r="H355" s="6" t="n">
        <v>0</v>
      </c>
      <c r="I355" s="6" t="n">
        <v>2</v>
      </c>
      <c r="J355" s="6" t="n">
        <v>0</v>
      </c>
      <c r="K355" s="7" t="n">
        <f aca="false">IF(E355+F355=0,"",E355/(E355+F355))</f>
        <v>1</v>
      </c>
      <c r="L355" s="13" t="str">
        <f aca="false">IF(E355+I355&gt;0,"Yes","No")</f>
        <v>Yes</v>
      </c>
      <c r="M355" s="14" t="s">
        <v>756</v>
      </c>
    </row>
    <row r="356" customFormat="false" ht="15" hidden="false" customHeight="false" outlineLevel="0" collapsed="false">
      <c r="A356" s="9" t="n">
        <v>355</v>
      </c>
      <c r="B356" s="9" t="s">
        <v>261</v>
      </c>
      <c r="C356" s="10" t="n">
        <v>46</v>
      </c>
      <c r="D356" s="10" t="n">
        <v>77</v>
      </c>
      <c r="E356" s="10" t="n">
        <v>123</v>
      </c>
      <c r="F356" s="10" t="n">
        <v>3</v>
      </c>
      <c r="G356" s="10" t="n">
        <v>28</v>
      </c>
      <c r="H356" s="10" t="n">
        <v>33</v>
      </c>
      <c r="I356" s="10" t="n">
        <v>61</v>
      </c>
      <c r="J356" s="10" t="n">
        <v>0</v>
      </c>
      <c r="K356" s="11" t="n">
        <f aca="false">IF(E356+F356=0,"",E356/(E356+F356))</f>
        <v>0.976190476190476</v>
      </c>
      <c r="L356" s="9" t="str">
        <f aca="false">IF(E356+I356&gt;0,"Yes","No")</f>
        <v>Yes</v>
      </c>
      <c r="M356" s="12" t="s">
        <v>262</v>
      </c>
    </row>
    <row r="357" customFormat="false" ht="15" hidden="false" customHeight="false" outlineLevel="0" collapsed="false">
      <c r="A357" s="13" t="n">
        <v>356</v>
      </c>
      <c r="B357" s="13" t="s">
        <v>509</v>
      </c>
      <c r="C357" s="6" t="n">
        <v>11</v>
      </c>
      <c r="D357" s="6" t="n">
        <v>16</v>
      </c>
      <c r="E357" s="6" t="n">
        <v>27</v>
      </c>
      <c r="F357" s="6" t="n">
        <v>0</v>
      </c>
      <c r="G357" s="6" t="n">
        <v>0</v>
      </c>
      <c r="H357" s="6" t="n">
        <v>2</v>
      </c>
      <c r="I357" s="6" t="n">
        <v>2</v>
      </c>
      <c r="J357" s="6" t="n">
        <v>0</v>
      </c>
      <c r="K357" s="7" t="n">
        <f aca="false">IF(E357+F357=0,"",E357/(E357+F357))</f>
        <v>1</v>
      </c>
      <c r="L357" s="13" t="str">
        <f aca="false">IF(E357+I357&gt;0,"Yes","No")</f>
        <v>Yes</v>
      </c>
      <c r="M357" s="14" t="s">
        <v>510</v>
      </c>
    </row>
    <row r="358" customFormat="false" ht="15" hidden="false" customHeight="false" outlineLevel="0" collapsed="false">
      <c r="A358" s="9" t="n">
        <v>357</v>
      </c>
      <c r="B358" s="9" t="s">
        <v>625</v>
      </c>
      <c r="C358" s="10" t="n">
        <v>11</v>
      </c>
      <c r="D358" s="10" t="n">
        <v>3</v>
      </c>
      <c r="E358" s="10" t="n">
        <v>14</v>
      </c>
      <c r="F358" s="10" t="n">
        <v>0</v>
      </c>
      <c r="G358" s="10" t="n">
        <v>5</v>
      </c>
      <c r="H358" s="10" t="n">
        <v>3</v>
      </c>
      <c r="I358" s="10" t="n">
        <v>8</v>
      </c>
      <c r="J358" s="10" t="n">
        <v>0</v>
      </c>
      <c r="K358" s="11" t="n">
        <f aca="false">IF(E358+F358=0,"",E358/(E358+F358))</f>
        <v>1</v>
      </c>
      <c r="L358" s="9" t="str">
        <f aca="false">IF(E358+I358&gt;0,"Yes","No")</f>
        <v>Yes</v>
      </c>
      <c r="M358" s="12" t="s">
        <v>626</v>
      </c>
    </row>
    <row r="359" customFormat="false" ht="15" hidden="false" customHeight="false" outlineLevel="0" collapsed="false">
      <c r="A359" s="13" t="n">
        <v>358</v>
      </c>
      <c r="B359" s="13" t="s">
        <v>693</v>
      </c>
      <c r="C359" s="6" t="n">
        <v>3</v>
      </c>
      <c r="D359" s="6" t="n">
        <v>6</v>
      </c>
      <c r="E359" s="6" t="n">
        <v>9</v>
      </c>
      <c r="F359" s="6" t="n">
        <v>0</v>
      </c>
      <c r="G359" s="6" t="n">
        <v>1</v>
      </c>
      <c r="H359" s="6" t="n">
        <v>2</v>
      </c>
      <c r="I359" s="6" t="n">
        <v>3</v>
      </c>
      <c r="J359" s="6" t="n">
        <v>0</v>
      </c>
      <c r="K359" s="7" t="n">
        <f aca="false">IF(E359+F359=0,"",E359/(E359+F359))</f>
        <v>1</v>
      </c>
      <c r="L359" s="13" t="str">
        <f aca="false">IF(E359+I359&gt;0,"Yes","No")</f>
        <v>Yes</v>
      </c>
      <c r="M359" s="14" t="s">
        <v>694</v>
      </c>
    </row>
    <row r="360" customFormat="false" ht="15" hidden="false" customHeight="false" outlineLevel="0" collapsed="false">
      <c r="A360" s="9" t="n">
        <v>359</v>
      </c>
      <c r="B360" s="9" t="s">
        <v>611</v>
      </c>
      <c r="C360" s="10" t="n">
        <v>5</v>
      </c>
      <c r="D360" s="10" t="n">
        <v>10</v>
      </c>
      <c r="E360" s="10" t="n">
        <v>15</v>
      </c>
      <c r="F360" s="10" t="n">
        <v>0</v>
      </c>
      <c r="G360" s="10" t="n">
        <v>4</v>
      </c>
      <c r="H360" s="10" t="n">
        <v>4</v>
      </c>
      <c r="I360" s="10" t="n">
        <v>8</v>
      </c>
      <c r="J360" s="10" t="n">
        <v>0</v>
      </c>
      <c r="K360" s="11" t="n">
        <f aca="false">IF(E360+F360=0,"",E360/(E360+F360))</f>
        <v>1</v>
      </c>
      <c r="L360" s="9" t="str">
        <f aca="false">IF(E360+I360&gt;0,"Yes","No")</f>
        <v>Yes</v>
      </c>
      <c r="M360" s="12" t="s">
        <v>612</v>
      </c>
    </row>
    <row r="361" customFormat="false" ht="15" hidden="false" customHeight="false" outlineLevel="0" collapsed="false">
      <c r="A361" s="13" t="n">
        <v>360</v>
      </c>
      <c r="B361" s="13" t="s">
        <v>823</v>
      </c>
      <c r="C361" s="6" t="n">
        <v>1</v>
      </c>
      <c r="D361" s="6" t="n">
        <v>2</v>
      </c>
      <c r="E361" s="6" t="n">
        <v>3</v>
      </c>
      <c r="F361" s="6" t="n">
        <v>0</v>
      </c>
      <c r="G361" s="6" t="n">
        <v>0</v>
      </c>
      <c r="H361" s="6" t="n">
        <v>0</v>
      </c>
      <c r="I361" s="6" t="n">
        <v>0</v>
      </c>
      <c r="J361" s="6" t="n">
        <v>0</v>
      </c>
      <c r="K361" s="7" t="n">
        <f aca="false">IF(E361+F361=0,"",E361/(E361+F361))</f>
        <v>1</v>
      </c>
      <c r="L361" s="13" t="str">
        <f aca="false">IF(E361+I361&gt;0,"Yes","No")</f>
        <v>Yes</v>
      </c>
      <c r="M361" s="14" t="s">
        <v>824</v>
      </c>
    </row>
    <row r="362" customFormat="false" ht="15" hidden="false" customHeight="false" outlineLevel="0" collapsed="false">
      <c r="A362" s="9" t="n">
        <v>361</v>
      </c>
      <c r="B362" s="9" t="s">
        <v>853</v>
      </c>
      <c r="C362" s="10" t="n">
        <v>0</v>
      </c>
      <c r="D362" s="10" t="n">
        <v>1</v>
      </c>
      <c r="E362" s="10" t="n">
        <v>1</v>
      </c>
      <c r="F362" s="10" t="n">
        <v>0</v>
      </c>
      <c r="G362" s="10" t="n">
        <v>0</v>
      </c>
      <c r="H362" s="10" t="n">
        <v>1</v>
      </c>
      <c r="I362" s="10" t="n">
        <v>1</v>
      </c>
      <c r="J362" s="10" t="n">
        <v>0</v>
      </c>
      <c r="K362" s="11" t="n">
        <f aca="false">IF(E362+F362=0,"",E362/(E362+F362))</f>
        <v>1</v>
      </c>
      <c r="L362" s="9" t="str">
        <f aca="false">IF(E362+I362&gt;0,"Yes","No")</f>
        <v>Yes</v>
      </c>
      <c r="M362" s="12" t="s">
        <v>854</v>
      </c>
    </row>
    <row r="363" customFormat="false" ht="15" hidden="false" customHeight="false" outlineLevel="0" collapsed="false">
      <c r="A363" s="13" t="n">
        <v>362</v>
      </c>
      <c r="B363" s="13" t="s">
        <v>629</v>
      </c>
      <c r="C363" s="6" t="n">
        <v>9</v>
      </c>
      <c r="D363" s="6" t="n">
        <v>5</v>
      </c>
      <c r="E363" s="6" t="n">
        <v>14</v>
      </c>
      <c r="F363" s="6" t="n">
        <v>0</v>
      </c>
      <c r="G363" s="6" t="n">
        <v>3</v>
      </c>
      <c r="H363" s="6" t="n">
        <v>0</v>
      </c>
      <c r="I363" s="6" t="n">
        <v>3</v>
      </c>
      <c r="J363" s="6" t="n">
        <v>0</v>
      </c>
      <c r="K363" s="7" t="n">
        <f aca="false">IF(E363+F363=0,"",E363/(E363+F363))</f>
        <v>1</v>
      </c>
      <c r="L363" s="13" t="str">
        <f aca="false">IF(E363+I363&gt;0,"Yes","No")</f>
        <v>Yes</v>
      </c>
      <c r="M363" s="14" t="s">
        <v>630</v>
      </c>
    </row>
    <row r="364" customFormat="false" ht="15" hidden="false" customHeight="false" outlineLevel="0" collapsed="false">
      <c r="A364" s="9" t="n">
        <v>363</v>
      </c>
      <c r="B364" s="9" t="s">
        <v>521</v>
      </c>
      <c r="C364" s="10" t="n">
        <v>14</v>
      </c>
      <c r="D364" s="10" t="n">
        <v>11</v>
      </c>
      <c r="E364" s="10" t="n">
        <v>25</v>
      </c>
      <c r="F364" s="10" t="n">
        <v>1</v>
      </c>
      <c r="G364" s="10" t="n">
        <v>6</v>
      </c>
      <c r="H364" s="10" t="n">
        <v>1</v>
      </c>
      <c r="I364" s="10" t="n">
        <v>7</v>
      </c>
      <c r="J364" s="10" t="n">
        <v>1</v>
      </c>
      <c r="K364" s="11" t="n">
        <f aca="false">IF(E364+F364=0,"",E364/(E364+F364))</f>
        <v>0.961538461538462</v>
      </c>
      <c r="L364" s="9" t="str">
        <f aca="false">IF(E364+I364&gt;0,"Yes","No")</f>
        <v>Yes</v>
      </c>
      <c r="M364" s="12" t="s">
        <v>522</v>
      </c>
    </row>
    <row r="365" customFormat="false" ht="15" hidden="false" customHeight="false" outlineLevel="0" collapsed="false">
      <c r="A365" s="13" t="n">
        <v>364</v>
      </c>
      <c r="B365" s="13" t="s">
        <v>681</v>
      </c>
      <c r="C365" s="6" t="n">
        <v>8</v>
      </c>
      <c r="D365" s="6" t="n">
        <v>2</v>
      </c>
      <c r="E365" s="6" t="n">
        <v>10</v>
      </c>
      <c r="F365" s="6" t="n">
        <v>0</v>
      </c>
      <c r="G365" s="6" t="n">
        <v>3</v>
      </c>
      <c r="H365" s="6" t="n">
        <v>2</v>
      </c>
      <c r="I365" s="6" t="n">
        <v>5</v>
      </c>
      <c r="J365" s="6" t="n">
        <v>1</v>
      </c>
      <c r="K365" s="7" t="n">
        <f aca="false">IF(E365+F365=0,"",E365/(E365+F365))</f>
        <v>1</v>
      </c>
      <c r="L365" s="13" t="str">
        <f aca="false">IF(E365+I365&gt;0,"Yes","No")</f>
        <v>Yes</v>
      </c>
      <c r="M365" s="14" t="s">
        <v>682</v>
      </c>
    </row>
    <row r="366" customFormat="false" ht="15" hidden="false" customHeight="false" outlineLevel="0" collapsed="false">
      <c r="A366" s="9" t="n">
        <v>365</v>
      </c>
      <c r="B366" s="9" t="s">
        <v>411</v>
      </c>
      <c r="C366" s="10" t="n">
        <v>11</v>
      </c>
      <c r="D366" s="10" t="n">
        <v>35</v>
      </c>
      <c r="E366" s="10" t="n">
        <v>46</v>
      </c>
      <c r="F366" s="10" t="n">
        <v>0</v>
      </c>
      <c r="G366" s="10" t="n">
        <v>4</v>
      </c>
      <c r="H366" s="10" t="n">
        <v>4</v>
      </c>
      <c r="I366" s="10" t="n">
        <v>8</v>
      </c>
      <c r="J366" s="10" t="n">
        <v>1</v>
      </c>
      <c r="K366" s="11" t="n">
        <f aca="false">IF(E366+F366=0,"",E366/(E366+F366))</f>
        <v>1</v>
      </c>
      <c r="L366" s="9" t="str">
        <f aca="false">IF(E366+I366&gt;0,"Yes","No")</f>
        <v>Yes</v>
      </c>
      <c r="M366" s="12" t="s">
        <v>412</v>
      </c>
    </row>
    <row r="367" customFormat="false" ht="15" hidden="false" customHeight="false" outlineLevel="0" collapsed="false">
      <c r="A367" s="13" t="n">
        <v>366</v>
      </c>
      <c r="B367" s="13" t="s">
        <v>697</v>
      </c>
      <c r="C367" s="6" t="n">
        <v>0</v>
      </c>
      <c r="D367" s="6" t="n">
        <v>9</v>
      </c>
      <c r="E367" s="6" t="n">
        <v>9</v>
      </c>
      <c r="F367" s="6" t="n">
        <v>0</v>
      </c>
      <c r="G367" s="6" t="n">
        <v>2</v>
      </c>
      <c r="H367" s="6" t="n">
        <v>0</v>
      </c>
      <c r="I367" s="6" t="n">
        <v>2</v>
      </c>
      <c r="J367" s="6" t="n">
        <v>0</v>
      </c>
      <c r="K367" s="7" t="n">
        <f aca="false">IF(E367+F367=0,"",E367/(E367+F367))</f>
        <v>1</v>
      </c>
      <c r="L367" s="13" t="str">
        <f aca="false">IF(E367+I367&gt;0,"Yes","No")</f>
        <v>Yes</v>
      </c>
      <c r="M367" s="14" t="s">
        <v>698</v>
      </c>
    </row>
    <row r="368" customFormat="false" ht="15" hidden="false" customHeight="false" outlineLevel="0" collapsed="false">
      <c r="A368" s="9" t="n">
        <v>367</v>
      </c>
      <c r="B368" s="9" t="s">
        <v>421</v>
      </c>
      <c r="C368" s="10" t="n">
        <v>31</v>
      </c>
      <c r="D368" s="10" t="n">
        <v>14</v>
      </c>
      <c r="E368" s="10" t="n">
        <v>45</v>
      </c>
      <c r="F368" s="10" t="n">
        <v>0</v>
      </c>
      <c r="G368" s="10" t="n">
        <v>1</v>
      </c>
      <c r="H368" s="10" t="n">
        <v>7</v>
      </c>
      <c r="I368" s="10" t="n">
        <v>8</v>
      </c>
      <c r="J368" s="10" t="n">
        <v>0</v>
      </c>
      <c r="K368" s="11" t="n">
        <f aca="false">IF(E368+F368=0,"",E368/(E368+F368))</f>
        <v>1</v>
      </c>
      <c r="L368" s="9" t="str">
        <f aca="false">IF(E368+I368&gt;0,"Yes","No")</f>
        <v>Yes</v>
      </c>
      <c r="M368" s="12" t="s">
        <v>422</v>
      </c>
    </row>
    <row r="369" customFormat="false" ht="15" hidden="false" customHeight="false" outlineLevel="0" collapsed="false">
      <c r="A369" s="13" t="n">
        <v>368</v>
      </c>
      <c r="B369" s="13" t="s">
        <v>119</v>
      </c>
      <c r="C369" s="6" t="n">
        <v>186</v>
      </c>
      <c r="D369" s="6" t="n">
        <v>321</v>
      </c>
      <c r="E369" s="6" t="n">
        <v>507</v>
      </c>
      <c r="F369" s="6" t="n">
        <v>9</v>
      </c>
      <c r="G369" s="6" t="n">
        <v>34</v>
      </c>
      <c r="H369" s="6" t="n">
        <v>43</v>
      </c>
      <c r="I369" s="6" t="n">
        <v>77</v>
      </c>
      <c r="J369" s="6" t="n">
        <v>0</v>
      </c>
      <c r="K369" s="7" t="n">
        <f aca="false">IF(E369+F369=0,"",E369/(E369+F369))</f>
        <v>0.982558139534884</v>
      </c>
      <c r="L369" s="13" t="str">
        <f aca="false">IF(E369+I369&gt;0,"Yes","No")</f>
        <v>Yes</v>
      </c>
      <c r="M369" s="14" t="s">
        <v>120</v>
      </c>
    </row>
    <row r="370" customFormat="false" ht="15" hidden="false" customHeight="false" outlineLevel="0" collapsed="false">
      <c r="A370" s="9" t="n">
        <v>369</v>
      </c>
      <c r="B370" s="9" t="s">
        <v>685</v>
      </c>
      <c r="C370" s="10" t="n">
        <v>1</v>
      </c>
      <c r="D370" s="10" t="n">
        <v>9</v>
      </c>
      <c r="E370" s="10" t="n">
        <v>10</v>
      </c>
      <c r="F370" s="10" t="n">
        <v>0</v>
      </c>
      <c r="G370" s="10" t="n">
        <v>1</v>
      </c>
      <c r="H370" s="10" t="n">
        <v>1</v>
      </c>
      <c r="I370" s="10" t="n">
        <v>2</v>
      </c>
      <c r="J370" s="10" t="n">
        <v>0</v>
      </c>
      <c r="K370" s="11" t="n">
        <f aca="false">IF(E370+F370=0,"",E370/(E370+F370))</f>
        <v>1</v>
      </c>
      <c r="L370" s="9" t="str">
        <f aca="false">IF(E370+I370&gt;0,"Yes","No")</f>
        <v>Yes</v>
      </c>
      <c r="M370" s="12" t="s">
        <v>686</v>
      </c>
    </row>
    <row r="371" customFormat="false" ht="15" hidden="false" customHeight="false" outlineLevel="0" collapsed="false">
      <c r="A371" s="13" t="n">
        <v>370</v>
      </c>
      <c r="B371" s="13" t="s">
        <v>389</v>
      </c>
      <c r="C371" s="6" t="n">
        <v>36</v>
      </c>
      <c r="D371" s="6" t="n">
        <v>22</v>
      </c>
      <c r="E371" s="6" t="n">
        <v>58</v>
      </c>
      <c r="F371" s="6" t="n">
        <v>0</v>
      </c>
      <c r="G371" s="6" t="n">
        <v>0</v>
      </c>
      <c r="H371" s="6" t="n">
        <v>12</v>
      </c>
      <c r="I371" s="6" t="n">
        <v>12</v>
      </c>
      <c r="J371" s="6" t="n">
        <v>1</v>
      </c>
      <c r="K371" s="7" t="n">
        <f aca="false">IF(E371+F371=0,"",E371/(E371+F371))</f>
        <v>1</v>
      </c>
      <c r="L371" s="13" t="str">
        <f aca="false">IF(E371+I371&gt;0,"Yes","No")</f>
        <v>Yes</v>
      </c>
      <c r="M371" s="14" t="s">
        <v>390</v>
      </c>
    </row>
    <row r="372" customFormat="false" ht="15" hidden="false" customHeight="false" outlineLevel="0" collapsed="false">
      <c r="A372" s="9" t="n">
        <v>371</v>
      </c>
      <c r="B372" s="9" t="s">
        <v>199</v>
      </c>
      <c r="C372" s="10" t="n">
        <v>103</v>
      </c>
      <c r="D372" s="10" t="n">
        <v>106</v>
      </c>
      <c r="E372" s="10" t="n">
        <v>209</v>
      </c>
      <c r="F372" s="10" t="n">
        <v>6</v>
      </c>
      <c r="G372" s="10" t="n">
        <v>54</v>
      </c>
      <c r="H372" s="10" t="n">
        <v>17</v>
      </c>
      <c r="I372" s="10" t="n">
        <v>71</v>
      </c>
      <c r="J372" s="10" t="n">
        <v>0</v>
      </c>
      <c r="K372" s="11" t="n">
        <f aca="false">IF(E372+F372=0,"",E372/(E372+F372))</f>
        <v>0.972093023255814</v>
      </c>
      <c r="L372" s="9" t="str">
        <f aca="false">IF(E372+I372&gt;0,"Yes","No")</f>
        <v>Yes</v>
      </c>
      <c r="M372" s="12" t="s">
        <v>200</v>
      </c>
    </row>
    <row r="373" customFormat="false" ht="15" hidden="false" customHeight="false" outlineLevel="0" collapsed="false">
      <c r="A373" s="13" t="n">
        <v>372</v>
      </c>
      <c r="B373" s="13" t="s">
        <v>743</v>
      </c>
      <c r="C373" s="6" t="n">
        <v>1</v>
      </c>
      <c r="D373" s="6" t="n">
        <v>5</v>
      </c>
      <c r="E373" s="6" t="n">
        <v>6</v>
      </c>
      <c r="F373" s="6" t="n">
        <v>0</v>
      </c>
      <c r="G373" s="6" t="n">
        <v>0</v>
      </c>
      <c r="H373" s="6" t="n">
        <v>1</v>
      </c>
      <c r="I373" s="6" t="n">
        <v>1</v>
      </c>
      <c r="J373" s="6" t="n">
        <v>0</v>
      </c>
      <c r="K373" s="7" t="n">
        <f aca="false">IF(E373+F373=0,"",E373/(E373+F373))</f>
        <v>1</v>
      </c>
      <c r="L373" s="13" t="str">
        <f aca="false">IF(E373+I373&gt;0,"Yes","No")</f>
        <v>Yes</v>
      </c>
      <c r="M373" s="14" t="s">
        <v>744</v>
      </c>
    </row>
    <row r="374" customFormat="false" ht="15" hidden="false" customHeight="false" outlineLevel="0" collapsed="false">
      <c r="A374" s="9" t="n">
        <v>373</v>
      </c>
      <c r="B374" s="9" t="s">
        <v>916</v>
      </c>
      <c r="C374" s="10" t="n">
        <v>0</v>
      </c>
      <c r="D374" s="10" t="n">
        <v>0</v>
      </c>
      <c r="E374" s="10" t="n">
        <v>0</v>
      </c>
      <c r="F374" s="10" t="n">
        <v>0</v>
      </c>
      <c r="G374" s="10" t="n">
        <v>0</v>
      </c>
      <c r="H374" s="10" t="n">
        <v>0</v>
      </c>
      <c r="I374" s="10" t="n">
        <v>0</v>
      </c>
      <c r="J374" s="10" t="n">
        <v>0</v>
      </c>
      <c r="K374" s="11" t="str">
        <f aca="false">IF(E374+F374=0,"",E374/(E374+F374))</f>
        <v/>
      </c>
      <c r="L374" s="9" t="str">
        <f aca="false">IF(E374+I374&gt;0,"Yes","No")</f>
        <v>No</v>
      </c>
      <c r="M374" s="12"/>
    </row>
    <row r="375" customFormat="false" ht="15" hidden="false" customHeight="false" outlineLevel="0" collapsed="false">
      <c r="A375" s="13" t="n">
        <v>374</v>
      </c>
      <c r="B375" s="13" t="s">
        <v>917</v>
      </c>
      <c r="C375" s="6" t="n">
        <v>0</v>
      </c>
      <c r="D375" s="6" t="n">
        <v>0</v>
      </c>
      <c r="E375" s="6" t="n">
        <v>0</v>
      </c>
      <c r="F375" s="6" t="n">
        <v>0</v>
      </c>
      <c r="G375" s="6" t="n">
        <v>0</v>
      </c>
      <c r="H375" s="6" t="n">
        <v>0</v>
      </c>
      <c r="I375" s="6" t="n">
        <v>0</v>
      </c>
      <c r="J375" s="6" t="n">
        <v>0</v>
      </c>
      <c r="K375" s="7" t="str">
        <f aca="false">IF(E375+F375=0,"",E375/(E375+F375))</f>
        <v/>
      </c>
      <c r="L375" s="13" t="str">
        <f aca="false">IF(E375+I375&gt;0,"Yes","No")</f>
        <v>No</v>
      </c>
      <c r="M375" s="14"/>
    </row>
    <row r="376" customFormat="false" ht="15" hidden="false" customHeight="false" outlineLevel="0" collapsed="false">
      <c r="A376" s="9" t="n">
        <v>375</v>
      </c>
      <c r="B376" s="9" t="s">
        <v>918</v>
      </c>
      <c r="C376" s="10" t="n">
        <v>0</v>
      </c>
      <c r="D376" s="10" t="n">
        <v>0</v>
      </c>
      <c r="E376" s="10" t="n">
        <v>0</v>
      </c>
      <c r="F376" s="10" t="n">
        <v>0</v>
      </c>
      <c r="G376" s="10" t="n">
        <v>0</v>
      </c>
      <c r="H376" s="10" t="n">
        <v>0</v>
      </c>
      <c r="I376" s="10" t="n">
        <v>0</v>
      </c>
      <c r="J376" s="10" t="n">
        <v>0</v>
      </c>
      <c r="K376" s="11" t="str">
        <f aca="false">IF(E376+F376=0,"",E376/(E376+F376))</f>
        <v/>
      </c>
      <c r="L376" s="9" t="str">
        <f aca="false">IF(E376+I376&gt;0,"Yes","No")</f>
        <v>No</v>
      </c>
      <c r="M376" s="12"/>
    </row>
    <row r="377" customFormat="false" ht="15" hidden="false" customHeight="false" outlineLevel="0" collapsed="false">
      <c r="A377" s="13" t="n">
        <v>376</v>
      </c>
      <c r="B377" s="13" t="s">
        <v>723</v>
      </c>
      <c r="C377" s="6" t="n">
        <v>7</v>
      </c>
      <c r="D377" s="6" t="n">
        <v>1</v>
      </c>
      <c r="E377" s="6" t="n">
        <v>8</v>
      </c>
      <c r="F377" s="6" t="n">
        <v>0</v>
      </c>
      <c r="G377" s="6" t="n">
        <v>0</v>
      </c>
      <c r="H377" s="6" t="n">
        <v>0</v>
      </c>
      <c r="I377" s="6" t="n">
        <v>0</v>
      </c>
      <c r="J377" s="6" t="n">
        <v>0</v>
      </c>
      <c r="K377" s="7" t="n">
        <f aca="false">IF(E377+F377=0,"",E377/(E377+F377))</f>
        <v>1</v>
      </c>
      <c r="L377" s="13" t="str">
        <f aca="false">IF(E377+I377&gt;0,"Yes","No")</f>
        <v>Yes</v>
      </c>
      <c r="M377" s="14" t="s">
        <v>724</v>
      </c>
    </row>
    <row r="378" customFormat="false" ht="15" hidden="false" customHeight="false" outlineLevel="0" collapsed="false">
      <c r="A378" s="9" t="n">
        <v>377</v>
      </c>
      <c r="B378" s="9" t="s">
        <v>275</v>
      </c>
      <c r="C378" s="10" t="n">
        <v>74</v>
      </c>
      <c r="D378" s="10" t="n">
        <v>44</v>
      </c>
      <c r="E378" s="10" t="n">
        <v>118</v>
      </c>
      <c r="F378" s="10" t="n">
        <v>0</v>
      </c>
      <c r="G378" s="10" t="n">
        <v>5</v>
      </c>
      <c r="H378" s="10" t="n">
        <v>4</v>
      </c>
      <c r="I378" s="10" t="n">
        <v>9</v>
      </c>
      <c r="J378" s="10" t="n">
        <v>0</v>
      </c>
      <c r="K378" s="11" t="n">
        <f aca="false">IF(E378+F378=0,"",E378/(E378+F378))</f>
        <v>1</v>
      </c>
      <c r="L378" s="9" t="str">
        <f aca="false">IF(E378+I378&gt;0,"Yes","No")</f>
        <v>Yes</v>
      </c>
      <c r="M378" s="12" t="s">
        <v>276</v>
      </c>
    </row>
    <row r="379" customFormat="false" ht="15" hidden="false" customHeight="false" outlineLevel="0" collapsed="false">
      <c r="A379" s="13" t="n">
        <v>378</v>
      </c>
      <c r="B379" s="13" t="s">
        <v>613</v>
      </c>
      <c r="C379" s="6" t="n">
        <v>8</v>
      </c>
      <c r="D379" s="6" t="n">
        <v>7</v>
      </c>
      <c r="E379" s="6" t="n">
        <v>15</v>
      </c>
      <c r="F379" s="6" t="n">
        <v>0</v>
      </c>
      <c r="G379" s="6" t="n">
        <v>2</v>
      </c>
      <c r="H379" s="6" t="n">
        <v>6</v>
      </c>
      <c r="I379" s="6" t="n">
        <v>8</v>
      </c>
      <c r="J379" s="6" t="n">
        <v>0</v>
      </c>
      <c r="K379" s="7" t="n">
        <f aca="false">IF(E379+F379=0,"",E379/(E379+F379))</f>
        <v>1</v>
      </c>
      <c r="L379" s="13" t="str">
        <f aca="false">IF(E379+I379&gt;0,"Yes","No")</f>
        <v>Yes</v>
      </c>
      <c r="M379" s="14" t="s">
        <v>614</v>
      </c>
    </row>
    <row r="380" customFormat="false" ht="15" hidden="false" customHeight="false" outlineLevel="0" collapsed="false">
      <c r="A380" s="9" t="n">
        <v>379</v>
      </c>
      <c r="B380" s="9" t="s">
        <v>529</v>
      </c>
      <c r="C380" s="10" t="n">
        <v>12</v>
      </c>
      <c r="D380" s="10" t="n">
        <v>12</v>
      </c>
      <c r="E380" s="10" t="n">
        <v>24</v>
      </c>
      <c r="F380" s="10" t="n">
        <v>2</v>
      </c>
      <c r="G380" s="10" t="n">
        <v>4</v>
      </c>
      <c r="H380" s="10" t="n">
        <v>9</v>
      </c>
      <c r="I380" s="10" t="n">
        <v>13</v>
      </c>
      <c r="J380" s="10" t="n">
        <v>0</v>
      </c>
      <c r="K380" s="11" t="n">
        <f aca="false">IF(E380+F380=0,"",E380/(E380+F380))</f>
        <v>0.923076923076923</v>
      </c>
      <c r="L380" s="9" t="str">
        <f aca="false">IF(E380+I380&gt;0,"Yes","No")</f>
        <v>Yes</v>
      </c>
      <c r="M380" s="12" t="s">
        <v>530</v>
      </c>
    </row>
    <row r="381" customFormat="false" ht="15" hidden="false" customHeight="false" outlineLevel="0" collapsed="false">
      <c r="A381" s="13" t="n">
        <v>380</v>
      </c>
      <c r="B381" s="13" t="s">
        <v>807</v>
      </c>
      <c r="C381" s="6" t="n">
        <v>2</v>
      </c>
      <c r="D381" s="6" t="n">
        <v>1</v>
      </c>
      <c r="E381" s="6" t="n">
        <v>3</v>
      </c>
      <c r="F381" s="6" t="n">
        <v>0</v>
      </c>
      <c r="G381" s="6" t="n">
        <v>2</v>
      </c>
      <c r="H381" s="6" t="n">
        <v>1</v>
      </c>
      <c r="I381" s="6" t="n">
        <v>3</v>
      </c>
      <c r="J381" s="6" t="n">
        <v>0</v>
      </c>
      <c r="K381" s="7" t="n">
        <f aca="false">IF(E381+F381=0,"",E381/(E381+F381))</f>
        <v>1</v>
      </c>
      <c r="L381" s="13" t="str">
        <f aca="false">IF(E381+I381&gt;0,"Yes","No")</f>
        <v>Yes</v>
      </c>
      <c r="M381" s="14" t="s">
        <v>808</v>
      </c>
    </row>
    <row r="382" customFormat="false" ht="15" hidden="false" customHeight="false" outlineLevel="0" collapsed="false">
      <c r="A382" s="9" t="n">
        <v>381</v>
      </c>
      <c r="B382" s="9" t="s">
        <v>201</v>
      </c>
      <c r="C382" s="10" t="n">
        <v>156</v>
      </c>
      <c r="D382" s="10" t="n">
        <v>53</v>
      </c>
      <c r="E382" s="10" t="n">
        <v>209</v>
      </c>
      <c r="F382" s="10" t="n">
        <v>2</v>
      </c>
      <c r="G382" s="10" t="n">
        <v>13</v>
      </c>
      <c r="H382" s="10" t="n">
        <v>14</v>
      </c>
      <c r="I382" s="10" t="n">
        <v>27</v>
      </c>
      <c r="J382" s="10" t="n">
        <v>0</v>
      </c>
      <c r="K382" s="11" t="n">
        <f aca="false">IF(E382+F382=0,"",E382/(E382+F382))</f>
        <v>0.990521327014218</v>
      </c>
      <c r="L382" s="9" t="str">
        <f aca="false">IF(E382+I382&gt;0,"Yes","No")</f>
        <v>Yes</v>
      </c>
      <c r="M382" s="12" t="s">
        <v>202</v>
      </c>
    </row>
    <row r="383" customFormat="false" ht="15" hidden="false" customHeight="false" outlineLevel="0" collapsed="false">
      <c r="A383" s="13" t="n">
        <v>382</v>
      </c>
      <c r="B383" s="13" t="s">
        <v>919</v>
      </c>
      <c r="C383" s="6" t="n">
        <v>0</v>
      </c>
      <c r="D383" s="6" t="n">
        <v>0</v>
      </c>
      <c r="E383" s="6" t="n">
        <v>0</v>
      </c>
      <c r="F383" s="6" t="n">
        <v>0</v>
      </c>
      <c r="G383" s="6" t="n">
        <v>0</v>
      </c>
      <c r="H383" s="6" t="n">
        <v>0</v>
      </c>
      <c r="I383" s="6" t="n">
        <v>0</v>
      </c>
      <c r="J383" s="6" t="n">
        <v>0</v>
      </c>
      <c r="K383" s="7" t="str">
        <f aca="false">IF(E383+F383=0,"",E383/(E383+F383))</f>
        <v/>
      </c>
      <c r="L383" s="13" t="str">
        <f aca="false">IF(E383+I383&gt;0,"Yes","No")</f>
        <v>No</v>
      </c>
      <c r="M383" s="14"/>
    </row>
    <row r="384" customFormat="false" ht="15" hidden="false" customHeight="false" outlineLevel="0" collapsed="false">
      <c r="A384" s="9" t="n">
        <v>383</v>
      </c>
      <c r="B384" s="9" t="s">
        <v>621</v>
      </c>
      <c r="C384" s="10" t="n">
        <v>7</v>
      </c>
      <c r="D384" s="10" t="n">
        <v>8</v>
      </c>
      <c r="E384" s="10" t="n">
        <v>15</v>
      </c>
      <c r="F384" s="10" t="n">
        <v>0</v>
      </c>
      <c r="G384" s="10" t="n">
        <v>0</v>
      </c>
      <c r="H384" s="10" t="n">
        <v>0</v>
      </c>
      <c r="I384" s="10" t="n">
        <v>0</v>
      </c>
      <c r="J384" s="10" t="n">
        <v>0</v>
      </c>
      <c r="K384" s="11" t="n">
        <f aca="false">IF(E384+F384=0,"",E384/(E384+F384))</f>
        <v>1</v>
      </c>
      <c r="L384" s="9" t="str">
        <f aca="false">IF(E384+I384&gt;0,"Yes","No")</f>
        <v>Yes</v>
      </c>
      <c r="M384" s="12" t="s">
        <v>622</v>
      </c>
    </row>
    <row r="385" customFormat="false" ht="15" hidden="false" customHeight="false" outlineLevel="0" collapsed="false">
      <c r="A385" s="13" t="n">
        <v>384</v>
      </c>
      <c r="B385" s="13" t="s">
        <v>920</v>
      </c>
      <c r="C385" s="6" t="n">
        <v>0</v>
      </c>
      <c r="D385" s="6" t="n">
        <v>0</v>
      </c>
      <c r="E385" s="6" t="n">
        <v>0</v>
      </c>
      <c r="F385" s="6" t="n">
        <v>1</v>
      </c>
      <c r="G385" s="6" t="n">
        <v>0</v>
      </c>
      <c r="H385" s="6" t="n">
        <v>0</v>
      </c>
      <c r="I385" s="6" t="n">
        <v>0</v>
      </c>
      <c r="J385" s="6" t="n">
        <v>0</v>
      </c>
      <c r="K385" s="7" t="n">
        <f aca="false">IF(E385+F385=0,"",E385/(E385+F385))</f>
        <v>0</v>
      </c>
      <c r="L385" s="13" t="str">
        <f aca="false">IF(E385+I385&gt;0,"Yes","No")</f>
        <v>No</v>
      </c>
      <c r="M385" s="14" t="s">
        <v>921</v>
      </c>
    </row>
    <row r="386" customFormat="false" ht="15" hidden="false" customHeight="false" outlineLevel="0" collapsed="false">
      <c r="A386" s="9" t="n">
        <v>385</v>
      </c>
      <c r="B386" s="9" t="s">
        <v>515</v>
      </c>
      <c r="C386" s="10" t="n">
        <v>13</v>
      </c>
      <c r="D386" s="10" t="n">
        <v>13</v>
      </c>
      <c r="E386" s="10" t="n">
        <v>26</v>
      </c>
      <c r="F386" s="10" t="n">
        <v>0</v>
      </c>
      <c r="G386" s="10" t="n">
        <v>5</v>
      </c>
      <c r="H386" s="10" t="n">
        <v>1</v>
      </c>
      <c r="I386" s="10" t="n">
        <v>6</v>
      </c>
      <c r="J386" s="10" t="n">
        <v>0</v>
      </c>
      <c r="K386" s="11" t="n">
        <f aca="false">IF(E386+F386=0,"",E386/(E386+F386))</f>
        <v>1</v>
      </c>
      <c r="L386" s="9" t="str">
        <f aca="false">IF(E386+I386&gt;0,"Yes","No")</f>
        <v>Yes</v>
      </c>
      <c r="M386" s="12" t="s">
        <v>516</v>
      </c>
    </row>
    <row r="387" customFormat="false" ht="15" hidden="false" customHeight="false" outlineLevel="0" collapsed="false">
      <c r="A387" s="13" t="n">
        <v>386</v>
      </c>
      <c r="B387" s="13" t="s">
        <v>825</v>
      </c>
      <c r="C387" s="6" t="n">
        <v>1</v>
      </c>
      <c r="D387" s="6" t="n">
        <v>2</v>
      </c>
      <c r="E387" s="6" t="n">
        <v>3</v>
      </c>
      <c r="F387" s="6" t="n">
        <v>0</v>
      </c>
      <c r="G387" s="6" t="n">
        <v>0</v>
      </c>
      <c r="H387" s="6" t="n">
        <v>0</v>
      </c>
      <c r="I387" s="6" t="n">
        <v>0</v>
      </c>
      <c r="J387" s="6" t="n">
        <v>0</v>
      </c>
      <c r="K387" s="7" t="n">
        <f aca="false">IF(E387+F387=0,"",E387/(E387+F387))</f>
        <v>1</v>
      </c>
      <c r="L387" s="13" t="str">
        <f aca="false">IF(E387+I387&gt;0,"Yes","No")</f>
        <v>Yes</v>
      </c>
      <c r="M387" s="14" t="s">
        <v>826</v>
      </c>
    </row>
    <row r="388" customFormat="false" ht="15" hidden="false" customHeight="false" outlineLevel="0" collapsed="false">
      <c r="A388" s="9" t="n">
        <v>387</v>
      </c>
      <c r="B388" s="9" t="s">
        <v>507</v>
      </c>
      <c r="C388" s="10" t="n">
        <v>16</v>
      </c>
      <c r="D388" s="10" t="n">
        <v>11</v>
      </c>
      <c r="E388" s="10" t="n">
        <v>27</v>
      </c>
      <c r="F388" s="10" t="n">
        <v>0</v>
      </c>
      <c r="G388" s="10" t="n">
        <v>3</v>
      </c>
      <c r="H388" s="10" t="n">
        <v>3</v>
      </c>
      <c r="I388" s="10" t="n">
        <v>6</v>
      </c>
      <c r="J388" s="10" t="n">
        <v>0</v>
      </c>
      <c r="K388" s="11" t="n">
        <f aca="false">IF(E388+F388=0,"",E388/(E388+F388))</f>
        <v>1</v>
      </c>
      <c r="L388" s="9" t="str">
        <f aca="false">IF(E388+I388&gt;0,"Yes","No")</f>
        <v>Yes</v>
      </c>
      <c r="M388" s="12" t="s">
        <v>508</v>
      </c>
    </row>
    <row r="389" customFormat="false" ht="15" hidden="false" customHeight="false" outlineLevel="0" collapsed="false">
      <c r="A389" s="13" t="n">
        <v>388</v>
      </c>
      <c r="B389" s="13" t="s">
        <v>709</v>
      </c>
      <c r="C389" s="6" t="n">
        <v>6</v>
      </c>
      <c r="D389" s="6" t="n">
        <v>3</v>
      </c>
      <c r="E389" s="6" t="n">
        <v>9</v>
      </c>
      <c r="F389" s="6" t="n">
        <v>0</v>
      </c>
      <c r="G389" s="6" t="n">
        <v>0</v>
      </c>
      <c r="H389" s="6" t="n">
        <v>0</v>
      </c>
      <c r="I389" s="6" t="n">
        <v>0</v>
      </c>
      <c r="J389" s="6" t="n">
        <v>0</v>
      </c>
      <c r="K389" s="7" t="n">
        <f aca="false">IF(E389+F389=0,"",E389/(E389+F389))</f>
        <v>1</v>
      </c>
      <c r="L389" s="13" t="str">
        <f aca="false">IF(E389+I389&gt;0,"Yes","No")</f>
        <v>Yes</v>
      </c>
      <c r="M389" s="14" t="s">
        <v>710</v>
      </c>
    </row>
    <row r="390" customFormat="false" ht="15" hidden="false" customHeight="false" outlineLevel="0" collapsed="false">
      <c r="A390" s="9" t="n">
        <v>389</v>
      </c>
      <c r="B390" s="9" t="s">
        <v>727</v>
      </c>
      <c r="C390" s="10" t="n">
        <v>4</v>
      </c>
      <c r="D390" s="10" t="n">
        <v>3</v>
      </c>
      <c r="E390" s="10" t="n">
        <v>7</v>
      </c>
      <c r="F390" s="10" t="n">
        <v>0</v>
      </c>
      <c r="G390" s="10" t="n">
        <v>2</v>
      </c>
      <c r="H390" s="10" t="n">
        <v>0</v>
      </c>
      <c r="I390" s="10" t="n">
        <v>2</v>
      </c>
      <c r="J390" s="10" t="n">
        <v>0</v>
      </c>
      <c r="K390" s="11" t="n">
        <f aca="false">IF(E390+F390=0,"",E390/(E390+F390))</f>
        <v>1</v>
      </c>
      <c r="L390" s="9" t="str">
        <f aca="false">IF(E390+I390&gt;0,"Yes","No")</f>
        <v>Yes</v>
      </c>
      <c r="M390" s="12" t="s">
        <v>728</v>
      </c>
    </row>
    <row r="391" customFormat="false" ht="15" hidden="false" customHeight="false" outlineLevel="0" collapsed="false">
      <c r="A391" s="13" t="n">
        <v>390</v>
      </c>
      <c r="B391" s="13" t="s">
        <v>481</v>
      </c>
      <c r="C391" s="6" t="n">
        <v>18</v>
      </c>
      <c r="D391" s="6" t="n">
        <v>14</v>
      </c>
      <c r="E391" s="6" t="n">
        <v>32</v>
      </c>
      <c r="F391" s="6" t="n">
        <v>2</v>
      </c>
      <c r="G391" s="6" t="n">
        <v>6</v>
      </c>
      <c r="H391" s="6" t="n">
        <v>2</v>
      </c>
      <c r="I391" s="6" t="n">
        <v>8</v>
      </c>
      <c r="J391" s="6" t="n">
        <v>1</v>
      </c>
      <c r="K391" s="7" t="n">
        <f aca="false">IF(E391+F391=0,"",E391/(E391+F391))</f>
        <v>0.941176470588235</v>
      </c>
      <c r="L391" s="13" t="str">
        <f aca="false">IF(E391+I391&gt;0,"Yes","No")</f>
        <v>Yes</v>
      </c>
      <c r="M391" s="14" t="s">
        <v>482</v>
      </c>
    </row>
    <row r="392" customFormat="false" ht="15" hidden="false" customHeight="false" outlineLevel="0" collapsed="false">
      <c r="A392" s="9" t="n">
        <v>391</v>
      </c>
      <c r="B392" s="9" t="s">
        <v>783</v>
      </c>
      <c r="C392" s="10" t="n">
        <v>2</v>
      </c>
      <c r="D392" s="10" t="n">
        <v>2</v>
      </c>
      <c r="E392" s="10" t="n">
        <v>4</v>
      </c>
      <c r="F392" s="10" t="n">
        <v>0</v>
      </c>
      <c r="G392" s="10" t="n">
        <v>1</v>
      </c>
      <c r="H392" s="10" t="n">
        <v>0</v>
      </c>
      <c r="I392" s="10" t="n">
        <v>1</v>
      </c>
      <c r="J392" s="10" t="n">
        <v>0</v>
      </c>
      <c r="K392" s="11" t="n">
        <f aca="false">IF(E392+F392=0,"",E392/(E392+F392))</f>
        <v>1</v>
      </c>
      <c r="L392" s="9" t="str">
        <f aca="false">IF(E392+I392&gt;0,"Yes","No")</f>
        <v>Yes</v>
      </c>
      <c r="M392" s="12" t="s">
        <v>784</v>
      </c>
    </row>
    <row r="393" customFormat="false" ht="15" hidden="false" customHeight="false" outlineLevel="0" collapsed="false">
      <c r="A393" s="13" t="n">
        <v>392</v>
      </c>
      <c r="B393" s="13" t="s">
        <v>645</v>
      </c>
      <c r="C393" s="6" t="n">
        <v>6</v>
      </c>
      <c r="D393" s="6" t="n">
        <v>7</v>
      </c>
      <c r="E393" s="6" t="n">
        <v>13</v>
      </c>
      <c r="F393" s="6" t="n">
        <v>0</v>
      </c>
      <c r="G393" s="6" t="n">
        <v>0</v>
      </c>
      <c r="H393" s="6" t="n">
        <v>1</v>
      </c>
      <c r="I393" s="6" t="n">
        <v>1</v>
      </c>
      <c r="J393" s="6" t="n">
        <v>0</v>
      </c>
      <c r="K393" s="7" t="n">
        <f aca="false">IF(E393+F393=0,"",E393/(E393+F393))</f>
        <v>1</v>
      </c>
      <c r="L393" s="13" t="str">
        <f aca="false">IF(E393+I393&gt;0,"Yes","No")</f>
        <v>Yes</v>
      </c>
      <c r="M393" s="14" t="s">
        <v>646</v>
      </c>
    </row>
    <row r="394" customFormat="false" ht="15" hidden="false" customHeight="false" outlineLevel="0" collapsed="false">
      <c r="A394" s="9" t="n">
        <v>393</v>
      </c>
      <c r="B394" s="9" t="s">
        <v>169</v>
      </c>
      <c r="C394" s="10" t="n">
        <v>112</v>
      </c>
      <c r="D394" s="10" t="n">
        <v>162</v>
      </c>
      <c r="E394" s="10" t="n">
        <v>274</v>
      </c>
      <c r="F394" s="10" t="n">
        <v>7</v>
      </c>
      <c r="G394" s="10" t="n">
        <v>34</v>
      </c>
      <c r="H394" s="10" t="n">
        <v>30</v>
      </c>
      <c r="I394" s="10" t="n">
        <v>64</v>
      </c>
      <c r="J394" s="10" t="n">
        <v>3</v>
      </c>
      <c r="K394" s="11" t="n">
        <f aca="false">IF(E394+F394=0,"",E394/(E394+F394))</f>
        <v>0.97508896797153</v>
      </c>
      <c r="L394" s="9" t="str">
        <f aca="false">IF(E394+I394&gt;0,"Yes","No")</f>
        <v>Yes</v>
      </c>
      <c r="M394" s="12" t="s">
        <v>170</v>
      </c>
    </row>
    <row r="395" customFormat="false" ht="15" hidden="false" customHeight="false" outlineLevel="0" collapsed="false">
      <c r="A395" s="13" t="n">
        <v>394</v>
      </c>
      <c r="B395" s="13" t="s">
        <v>745</v>
      </c>
      <c r="C395" s="6" t="n">
        <v>2</v>
      </c>
      <c r="D395" s="6" t="n">
        <v>4</v>
      </c>
      <c r="E395" s="6" t="n">
        <v>6</v>
      </c>
      <c r="F395" s="6" t="n">
        <v>0</v>
      </c>
      <c r="G395" s="6" t="n">
        <v>1</v>
      </c>
      <c r="H395" s="6" t="n">
        <v>0</v>
      </c>
      <c r="I395" s="6" t="n">
        <v>1</v>
      </c>
      <c r="J395" s="6" t="n">
        <v>0</v>
      </c>
      <c r="K395" s="7" t="n">
        <f aca="false">IF(E395+F395=0,"",E395/(E395+F395))</f>
        <v>1</v>
      </c>
      <c r="L395" s="13" t="str">
        <f aca="false">IF(E395+I395&gt;0,"Yes","No")</f>
        <v>Yes</v>
      </c>
      <c r="M395" s="14" t="s">
        <v>746</v>
      </c>
    </row>
    <row r="396" customFormat="false" ht="15" hidden="false" customHeight="false" outlineLevel="0" collapsed="false">
      <c r="A396" s="9" t="n">
        <v>395</v>
      </c>
      <c r="B396" s="9" t="s">
        <v>331</v>
      </c>
      <c r="C396" s="10" t="n">
        <v>40</v>
      </c>
      <c r="D396" s="10" t="n">
        <v>45</v>
      </c>
      <c r="E396" s="10" t="n">
        <v>85</v>
      </c>
      <c r="F396" s="10" t="n">
        <v>0</v>
      </c>
      <c r="G396" s="10" t="n">
        <v>4</v>
      </c>
      <c r="H396" s="10" t="n">
        <v>2</v>
      </c>
      <c r="I396" s="10" t="n">
        <v>6</v>
      </c>
      <c r="J396" s="10" t="n">
        <v>0</v>
      </c>
      <c r="K396" s="11" t="n">
        <f aca="false">IF(E396+F396=0,"",E396/(E396+F396))</f>
        <v>1</v>
      </c>
      <c r="L396" s="9" t="str">
        <f aca="false">IF(E396+I396&gt;0,"Yes","No")</f>
        <v>Yes</v>
      </c>
      <c r="M396" s="12" t="s">
        <v>332</v>
      </c>
    </row>
    <row r="397" customFormat="false" ht="15" hidden="false" customHeight="false" outlineLevel="0" collapsed="false">
      <c r="A397" s="13" t="n">
        <v>396</v>
      </c>
      <c r="B397" s="13" t="s">
        <v>503</v>
      </c>
      <c r="C397" s="6" t="n">
        <v>10</v>
      </c>
      <c r="D397" s="6" t="n">
        <v>18</v>
      </c>
      <c r="E397" s="6" t="n">
        <v>28</v>
      </c>
      <c r="F397" s="6" t="n">
        <v>0</v>
      </c>
      <c r="G397" s="6" t="n">
        <v>1</v>
      </c>
      <c r="H397" s="6" t="n">
        <v>3</v>
      </c>
      <c r="I397" s="6" t="n">
        <v>4</v>
      </c>
      <c r="J397" s="6" t="n">
        <v>0</v>
      </c>
      <c r="K397" s="7" t="n">
        <f aca="false">IF(E397+F397=0,"",E397/(E397+F397))</f>
        <v>1</v>
      </c>
      <c r="L397" s="13" t="str">
        <f aca="false">IF(E397+I397&gt;0,"Yes","No")</f>
        <v>Yes</v>
      </c>
      <c r="M397" s="14" t="s">
        <v>504</v>
      </c>
    </row>
    <row r="398" customFormat="false" ht="15" hidden="false" customHeight="false" outlineLevel="0" collapsed="false">
      <c r="A398" s="9" t="n">
        <v>397</v>
      </c>
      <c r="B398" s="9" t="s">
        <v>209</v>
      </c>
      <c r="C398" s="10" t="n">
        <v>72</v>
      </c>
      <c r="D398" s="10" t="n">
        <v>127</v>
      </c>
      <c r="E398" s="10" t="n">
        <v>199</v>
      </c>
      <c r="F398" s="10" t="n">
        <v>6</v>
      </c>
      <c r="G398" s="10" t="n">
        <v>11</v>
      </c>
      <c r="H398" s="10" t="n">
        <v>23</v>
      </c>
      <c r="I398" s="10" t="n">
        <v>34</v>
      </c>
      <c r="J398" s="10" t="n">
        <v>0</v>
      </c>
      <c r="K398" s="11" t="n">
        <f aca="false">IF(E398+F398=0,"",E398/(E398+F398))</f>
        <v>0.970731707317073</v>
      </c>
      <c r="L398" s="9" t="str">
        <f aca="false">IF(E398+I398&gt;0,"Yes","No")</f>
        <v>Yes</v>
      </c>
      <c r="M398" s="12" t="s">
        <v>210</v>
      </c>
    </row>
    <row r="399" customFormat="false" ht="15" hidden="false" customHeight="false" outlineLevel="0" collapsed="false">
      <c r="A399" s="13" t="n">
        <v>398</v>
      </c>
      <c r="B399" s="13" t="s">
        <v>922</v>
      </c>
      <c r="C399" s="6" t="n">
        <v>0</v>
      </c>
      <c r="D399" s="6" t="n">
        <v>0</v>
      </c>
      <c r="E399" s="6" t="n">
        <v>0</v>
      </c>
      <c r="F399" s="6" t="n">
        <v>0</v>
      </c>
      <c r="G399" s="6" t="n">
        <v>0</v>
      </c>
      <c r="H399" s="6" t="n">
        <v>0</v>
      </c>
      <c r="I399" s="6" t="n">
        <v>0</v>
      </c>
      <c r="J399" s="6" t="n">
        <v>0</v>
      </c>
      <c r="K399" s="7" t="str">
        <f aca="false">IF(E399+F399=0,"",E399/(E399+F399))</f>
        <v/>
      </c>
      <c r="L399" s="13" t="str">
        <f aca="false">IF(E399+I399&gt;0,"Yes","No")</f>
        <v>No</v>
      </c>
      <c r="M399" s="14"/>
    </row>
    <row r="400" customFormat="false" ht="15" hidden="false" customHeight="false" outlineLevel="0" collapsed="false">
      <c r="A400" s="9" t="n">
        <v>399</v>
      </c>
      <c r="B400" s="9" t="s">
        <v>615</v>
      </c>
      <c r="C400" s="10" t="n">
        <v>3</v>
      </c>
      <c r="D400" s="10" t="n">
        <v>12</v>
      </c>
      <c r="E400" s="10" t="n">
        <v>15</v>
      </c>
      <c r="F400" s="10" t="n">
        <v>0</v>
      </c>
      <c r="G400" s="10" t="n">
        <v>0</v>
      </c>
      <c r="H400" s="10" t="n">
        <v>4</v>
      </c>
      <c r="I400" s="10" t="n">
        <v>4</v>
      </c>
      <c r="J400" s="10" t="n">
        <v>0</v>
      </c>
      <c r="K400" s="11" t="n">
        <f aca="false">IF(E400+F400=0,"",E400/(E400+F400))</f>
        <v>1</v>
      </c>
      <c r="L400" s="9" t="str">
        <f aca="false">IF(E400+I400&gt;0,"Yes","No")</f>
        <v>Yes</v>
      </c>
      <c r="M400" s="12" t="s">
        <v>616</v>
      </c>
    </row>
    <row r="401" customFormat="false" ht="15" hidden="false" customHeight="false" outlineLevel="0" collapsed="false">
      <c r="A401" s="13" t="n">
        <v>400</v>
      </c>
      <c r="B401" s="13" t="s">
        <v>829</v>
      </c>
      <c r="C401" s="6" t="n">
        <v>2</v>
      </c>
      <c r="D401" s="6" t="n">
        <v>0</v>
      </c>
      <c r="E401" s="6" t="n">
        <v>2</v>
      </c>
      <c r="F401" s="6" t="n">
        <v>0</v>
      </c>
      <c r="G401" s="6" t="n">
        <v>1</v>
      </c>
      <c r="H401" s="6" t="n">
        <v>1</v>
      </c>
      <c r="I401" s="6" t="n">
        <v>2</v>
      </c>
      <c r="J401" s="6" t="n">
        <v>0</v>
      </c>
      <c r="K401" s="7" t="n">
        <f aca="false">IF(E401+F401=0,"",E401/(E401+F401))</f>
        <v>1</v>
      </c>
      <c r="L401" s="13" t="str">
        <f aca="false">IF(E401+I401&gt;0,"Yes","No")</f>
        <v>Yes</v>
      </c>
      <c r="M401" s="14" t="s">
        <v>830</v>
      </c>
    </row>
    <row r="402" customFormat="false" ht="15" hidden="false" customHeight="false" outlineLevel="0" collapsed="false">
      <c r="A402" s="9" t="n">
        <v>401</v>
      </c>
      <c r="B402" s="9" t="s">
        <v>923</v>
      </c>
      <c r="C402" s="10" t="n">
        <v>0</v>
      </c>
      <c r="D402" s="10" t="n">
        <v>0</v>
      </c>
      <c r="E402" s="10" t="n">
        <v>0</v>
      </c>
      <c r="F402" s="10" t="n">
        <v>0</v>
      </c>
      <c r="G402" s="10" t="n">
        <v>0</v>
      </c>
      <c r="H402" s="10" t="n">
        <v>0</v>
      </c>
      <c r="I402" s="10" t="n">
        <v>0</v>
      </c>
      <c r="J402" s="10" t="n">
        <v>0</v>
      </c>
      <c r="K402" s="11" t="str">
        <f aca="false">IF(E402+F402=0,"",E402/(E402+F402))</f>
        <v/>
      </c>
      <c r="L402" s="9" t="str">
        <f aca="false">IF(E402+I402&gt;0,"Yes","No")</f>
        <v>No</v>
      </c>
      <c r="M402" s="12"/>
    </row>
    <row r="403" customFormat="false" ht="15" hidden="false" customHeight="false" outlineLevel="0" collapsed="false">
      <c r="A403" s="13" t="n">
        <v>402</v>
      </c>
      <c r="B403" s="13" t="s">
        <v>547</v>
      </c>
      <c r="C403" s="6" t="n">
        <v>14</v>
      </c>
      <c r="D403" s="6" t="n">
        <v>8</v>
      </c>
      <c r="E403" s="6" t="n">
        <v>22</v>
      </c>
      <c r="F403" s="6" t="n">
        <v>0</v>
      </c>
      <c r="G403" s="6" t="n">
        <v>7</v>
      </c>
      <c r="H403" s="6" t="n">
        <v>2</v>
      </c>
      <c r="I403" s="6" t="n">
        <v>9</v>
      </c>
      <c r="J403" s="6" t="n">
        <v>0</v>
      </c>
      <c r="K403" s="7" t="n">
        <f aca="false">IF(E403+F403=0,"",E403/(E403+F403))</f>
        <v>1</v>
      </c>
      <c r="L403" s="13" t="str">
        <f aca="false">IF(E403+I403&gt;0,"Yes","No")</f>
        <v>Yes</v>
      </c>
      <c r="M403" s="14" t="s">
        <v>548</v>
      </c>
    </row>
    <row r="404" customFormat="false" ht="15" hidden="false" customHeight="false" outlineLevel="0" collapsed="false">
      <c r="A404" s="9" t="n">
        <v>403</v>
      </c>
      <c r="B404" s="9" t="s">
        <v>924</v>
      </c>
      <c r="C404" s="10" t="n">
        <v>0</v>
      </c>
      <c r="D404" s="10" t="n">
        <v>0</v>
      </c>
      <c r="E404" s="10" t="n">
        <v>0</v>
      </c>
      <c r="F404" s="10" t="n">
        <v>0</v>
      </c>
      <c r="G404" s="10" t="n">
        <v>0</v>
      </c>
      <c r="H404" s="10" t="n">
        <v>0</v>
      </c>
      <c r="I404" s="10" t="n">
        <v>0</v>
      </c>
      <c r="J404" s="10" t="n">
        <v>0</v>
      </c>
      <c r="K404" s="11" t="str">
        <f aca="false">IF(E404+F404=0,"",E404/(E404+F404))</f>
        <v/>
      </c>
      <c r="L404" s="9" t="str">
        <f aca="false">IF(E404+I404&gt;0,"Yes","No")</f>
        <v>No</v>
      </c>
      <c r="M404" s="12"/>
    </row>
    <row r="405" customFormat="false" ht="15" hidden="false" customHeight="false" outlineLevel="0" collapsed="false">
      <c r="A405" s="13" t="n">
        <v>404</v>
      </c>
      <c r="B405" s="13" t="s">
        <v>155</v>
      </c>
      <c r="C405" s="6" t="n">
        <v>65</v>
      </c>
      <c r="D405" s="6" t="n">
        <v>247</v>
      </c>
      <c r="E405" s="6" t="n">
        <v>312</v>
      </c>
      <c r="F405" s="6" t="n">
        <v>3</v>
      </c>
      <c r="G405" s="6" t="n">
        <v>14</v>
      </c>
      <c r="H405" s="6" t="n">
        <v>22</v>
      </c>
      <c r="I405" s="6" t="n">
        <v>36</v>
      </c>
      <c r="J405" s="6" t="n">
        <v>1</v>
      </c>
      <c r="K405" s="7" t="n">
        <f aca="false">IF(E405+F405=0,"",E405/(E405+F405))</f>
        <v>0.990476190476191</v>
      </c>
      <c r="L405" s="13" t="str">
        <f aca="false">IF(E405+I405&gt;0,"Yes","No")</f>
        <v>Yes</v>
      </c>
      <c r="M405" s="14" t="s">
        <v>156</v>
      </c>
    </row>
    <row r="406" customFormat="false" ht="15" hidden="false" customHeight="false" outlineLevel="0" collapsed="false">
      <c r="A406" s="9" t="n">
        <v>405</v>
      </c>
      <c r="B406" s="9" t="s">
        <v>599</v>
      </c>
      <c r="C406" s="10" t="n">
        <v>6</v>
      </c>
      <c r="D406" s="10" t="n">
        <v>10</v>
      </c>
      <c r="E406" s="10" t="n">
        <v>16</v>
      </c>
      <c r="F406" s="10" t="n">
        <v>0</v>
      </c>
      <c r="G406" s="10" t="n">
        <v>1</v>
      </c>
      <c r="H406" s="10" t="n">
        <v>2</v>
      </c>
      <c r="I406" s="10" t="n">
        <v>3</v>
      </c>
      <c r="J406" s="10" t="n">
        <v>0</v>
      </c>
      <c r="K406" s="11" t="n">
        <f aca="false">IF(E406+F406=0,"",E406/(E406+F406))</f>
        <v>1</v>
      </c>
      <c r="L406" s="9" t="str">
        <f aca="false">IF(E406+I406&gt;0,"Yes","No")</f>
        <v>Yes</v>
      </c>
      <c r="M406" s="12" t="s">
        <v>600</v>
      </c>
    </row>
    <row r="407" customFormat="false" ht="15" hidden="false" customHeight="false" outlineLevel="0" collapsed="false">
      <c r="A407" s="13" t="n">
        <v>406</v>
      </c>
      <c r="B407" s="13" t="s">
        <v>343</v>
      </c>
      <c r="C407" s="6" t="n">
        <v>52</v>
      </c>
      <c r="D407" s="6" t="n">
        <v>24</v>
      </c>
      <c r="E407" s="6" t="n">
        <v>76</v>
      </c>
      <c r="F407" s="6" t="n">
        <v>1</v>
      </c>
      <c r="G407" s="6" t="n">
        <v>16</v>
      </c>
      <c r="H407" s="6" t="n">
        <v>8</v>
      </c>
      <c r="I407" s="6" t="n">
        <v>24</v>
      </c>
      <c r="J407" s="6" t="n">
        <v>0</v>
      </c>
      <c r="K407" s="7" t="n">
        <f aca="false">IF(E407+F407=0,"",E407/(E407+F407))</f>
        <v>0.987012987012987</v>
      </c>
      <c r="L407" s="13" t="str">
        <f aca="false">IF(E407+I407&gt;0,"Yes","No")</f>
        <v>Yes</v>
      </c>
      <c r="M407" s="14" t="s">
        <v>344</v>
      </c>
    </row>
    <row r="408" customFormat="false" ht="15" hidden="false" customHeight="false" outlineLevel="0" collapsed="false">
      <c r="A408" s="9" t="n">
        <v>407</v>
      </c>
      <c r="B408" s="9" t="s">
        <v>671</v>
      </c>
      <c r="C408" s="10" t="n">
        <v>3</v>
      </c>
      <c r="D408" s="10" t="n">
        <v>8</v>
      </c>
      <c r="E408" s="10" t="n">
        <v>11</v>
      </c>
      <c r="F408" s="10" t="n">
        <v>0</v>
      </c>
      <c r="G408" s="10" t="n">
        <v>1</v>
      </c>
      <c r="H408" s="10" t="n">
        <v>1</v>
      </c>
      <c r="I408" s="10" t="n">
        <v>2</v>
      </c>
      <c r="J408" s="10" t="n">
        <v>0</v>
      </c>
      <c r="K408" s="11" t="n">
        <f aca="false">IF(E408+F408=0,"",E408/(E408+F408))</f>
        <v>1</v>
      </c>
      <c r="L408" s="9" t="str">
        <f aca="false">IF(E408+I408&gt;0,"Yes","No")</f>
        <v>Yes</v>
      </c>
      <c r="M408" s="12" t="s">
        <v>672</v>
      </c>
    </row>
    <row r="409" customFormat="false" ht="15" hidden="false" customHeight="false" outlineLevel="0" collapsed="false">
      <c r="A409" s="13" t="n">
        <v>408</v>
      </c>
      <c r="B409" s="13" t="s">
        <v>323</v>
      </c>
      <c r="C409" s="6" t="n">
        <v>52</v>
      </c>
      <c r="D409" s="6" t="n">
        <v>35</v>
      </c>
      <c r="E409" s="6" t="n">
        <v>87</v>
      </c>
      <c r="F409" s="6" t="n">
        <v>0</v>
      </c>
      <c r="G409" s="6" t="n">
        <v>5</v>
      </c>
      <c r="H409" s="6" t="n">
        <v>2</v>
      </c>
      <c r="I409" s="6" t="n">
        <v>7</v>
      </c>
      <c r="J409" s="6" t="n">
        <v>1</v>
      </c>
      <c r="K409" s="7" t="n">
        <f aca="false">IF(E409+F409=0,"",E409/(E409+F409))</f>
        <v>1</v>
      </c>
      <c r="L409" s="13" t="str">
        <f aca="false">IF(E409+I409&gt;0,"Yes","No")</f>
        <v>Yes</v>
      </c>
      <c r="M409" s="14" t="s">
        <v>324</v>
      </c>
    </row>
    <row r="410" customFormat="false" ht="15" hidden="false" customHeight="false" outlineLevel="0" collapsed="false">
      <c r="A410" s="9" t="n">
        <v>409</v>
      </c>
      <c r="B410" s="9" t="s">
        <v>891</v>
      </c>
      <c r="C410" s="10" t="n">
        <v>0</v>
      </c>
      <c r="D410" s="10" t="n">
        <v>0</v>
      </c>
      <c r="E410" s="10" t="n">
        <v>0</v>
      </c>
      <c r="F410" s="10" t="n">
        <v>0</v>
      </c>
      <c r="G410" s="10" t="n">
        <v>0</v>
      </c>
      <c r="H410" s="10" t="n">
        <v>1</v>
      </c>
      <c r="I410" s="10" t="n">
        <v>1</v>
      </c>
      <c r="J410" s="10" t="n">
        <v>0</v>
      </c>
      <c r="K410" s="11" t="str">
        <f aca="false">IF(E410+F410=0,"",E410/(E410+F410))</f>
        <v/>
      </c>
      <c r="L410" s="9" t="str">
        <f aca="false">IF(E410+I410&gt;0,"Yes","No")</f>
        <v>Yes</v>
      </c>
      <c r="M410" s="12" t="s">
        <v>892</v>
      </c>
    </row>
    <row r="411" customFormat="false" ht="15" hidden="false" customHeight="false" outlineLevel="0" collapsed="false">
      <c r="A411" s="13" t="n">
        <v>410</v>
      </c>
      <c r="B411" s="13" t="s">
        <v>279</v>
      </c>
      <c r="C411" s="6" t="n">
        <v>31</v>
      </c>
      <c r="D411" s="6" t="n">
        <v>86</v>
      </c>
      <c r="E411" s="6" t="n">
        <v>117</v>
      </c>
      <c r="F411" s="6" t="n">
        <v>1</v>
      </c>
      <c r="G411" s="6" t="n">
        <v>10</v>
      </c>
      <c r="H411" s="6" t="n">
        <v>8</v>
      </c>
      <c r="I411" s="6" t="n">
        <v>18</v>
      </c>
      <c r="J411" s="6" t="n">
        <v>1</v>
      </c>
      <c r="K411" s="7" t="n">
        <f aca="false">IF(E411+F411=0,"",E411/(E411+F411))</f>
        <v>0.991525423728814</v>
      </c>
      <c r="L411" s="13" t="str">
        <f aca="false">IF(E411+I411&gt;0,"Yes","No")</f>
        <v>Yes</v>
      </c>
      <c r="M411" s="14" t="s">
        <v>280</v>
      </c>
    </row>
    <row r="412" customFormat="false" ht="15" hidden="false" customHeight="false" outlineLevel="0" collapsed="false">
      <c r="A412" s="9" t="n">
        <v>411</v>
      </c>
      <c r="B412" s="9" t="s">
        <v>105</v>
      </c>
      <c r="C412" s="10" t="n">
        <v>285</v>
      </c>
      <c r="D412" s="10" t="n">
        <v>297</v>
      </c>
      <c r="E412" s="10" t="n">
        <v>582</v>
      </c>
      <c r="F412" s="10" t="n">
        <v>7</v>
      </c>
      <c r="G412" s="10" t="n">
        <v>84</v>
      </c>
      <c r="H412" s="10" t="n">
        <v>46</v>
      </c>
      <c r="I412" s="10" t="n">
        <v>130</v>
      </c>
      <c r="J412" s="10" t="n">
        <v>5</v>
      </c>
      <c r="K412" s="11" t="n">
        <f aca="false">IF(E412+F412=0,"",E412/(E412+F412))</f>
        <v>0.98811544991511</v>
      </c>
      <c r="L412" s="9" t="str">
        <f aca="false">IF(E412+I412&gt;0,"Yes","No")</f>
        <v>Yes</v>
      </c>
      <c r="M412" s="12" t="s">
        <v>106</v>
      </c>
    </row>
    <row r="413" customFormat="false" ht="15" hidden="false" customHeight="false" outlineLevel="0" collapsed="false">
      <c r="A413" s="13" t="n">
        <v>412</v>
      </c>
      <c r="B413" s="13" t="s">
        <v>925</v>
      </c>
      <c r="C413" s="6" t="n">
        <v>0</v>
      </c>
      <c r="D413" s="6" t="n">
        <v>0</v>
      </c>
      <c r="E413" s="6" t="n">
        <v>0</v>
      </c>
      <c r="F413" s="6" t="n">
        <v>0</v>
      </c>
      <c r="G413" s="6" t="n">
        <v>0</v>
      </c>
      <c r="H413" s="6" t="n">
        <v>0</v>
      </c>
      <c r="I413" s="6" t="n">
        <v>0</v>
      </c>
      <c r="J413" s="6" t="n">
        <v>0</v>
      </c>
      <c r="K413" s="7" t="str">
        <f aca="false">IF(E413+F413=0,"",E413/(E413+F413))</f>
        <v/>
      </c>
      <c r="L413" s="13" t="str">
        <f aca="false">IF(E413+I413&gt;0,"Yes","No")</f>
        <v>No</v>
      </c>
      <c r="M413" s="14"/>
    </row>
    <row r="414" customFormat="false" ht="15" hidden="false" customHeight="false" outlineLevel="0" collapsed="false">
      <c r="A414" s="9" t="n">
        <v>413</v>
      </c>
      <c r="B414" s="9" t="s">
        <v>855</v>
      </c>
      <c r="C414" s="10" t="n">
        <v>1</v>
      </c>
      <c r="D414" s="10" t="n">
        <v>0</v>
      </c>
      <c r="E414" s="10" t="n">
        <v>1</v>
      </c>
      <c r="F414" s="10" t="n">
        <v>0</v>
      </c>
      <c r="G414" s="10" t="n">
        <v>1</v>
      </c>
      <c r="H414" s="10" t="n">
        <v>0</v>
      </c>
      <c r="I414" s="10" t="n">
        <v>1</v>
      </c>
      <c r="J414" s="10" t="n">
        <v>0</v>
      </c>
      <c r="K414" s="11" t="n">
        <f aca="false">IF(E414+F414=0,"",E414/(E414+F414))</f>
        <v>1</v>
      </c>
      <c r="L414" s="9" t="str">
        <f aca="false">IF(E414+I414&gt;0,"Yes","No")</f>
        <v>Yes</v>
      </c>
      <c r="M414" s="12" t="s">
        <v>856</v>
      </c>
    </row>
    <row r="415" customFormat="false" ht="15" hidden="false" customHeight="false" outlineLevel="0" collapsed="false">
      <c r="A415" s="13" t="n">
        <v>414</v>
      </c>
      <c r="B415" s="13" t="s">
        <v>926</v>
      </c>
      <c r="C415" s="6" t="n">
        <v>0</v>
      </c>
      <c r="D415" s="6" t="n">
        <v>0</v>
      </c>
      <c r="E415" s="6" t="n">
        <v>0</v>
      </c>
      <c r="F415" s="6" t="n">
        <v>0</v>
      </c>
      <c r="G415" s="6" t="n">
        <v>0</v>
      </c>
      <c r="H415" s="6" t="n">
        <v>0</v>
      </c>
      <c r="I415" s="6" t="n">
        <v>0</v>
      </c>
      <c r="J415" s="6" t="n">
        <v>0</v>
      </c>
      <c r="K415" s="7" t="str">
        <f aca="false">IF(E415+F415=0,"",E415/(E415+F415))</f>
        <v/>
      </c>
      <c r="L415" s="13" t="str">
        <f aca="false">IF(E415+I415&gt;0,"Yes","No")</f>
        <v>No</v>
      </c>
      <c r="M415" s="14"/>
    </row>
    <row r="416" customFormat="false" ht="15" hidden="false" customHeight="false" outlineLevel="0" collapsed="false">
      <c r="A416" s="9" t="n">
        <v>415</v>
      </c>
      <c r="B416" s="9" t="s">
        <v>467</v>
      </c>
      <c r="C416" s="10" t="n">
        <v>22</v>
      </c>
      <c r="D416" s="10" t="n">
        <v>12</v>
      </c>
      <c r="E416" s="10" t="n">
        <v>34</v>
      </c>
      <c r="F416" s="10" t="n">
        <v>0</v>
      </c>
      <c r="G416" s="10" t="n">
        <v>2</v>
      </c>
      <c r="H416" s="10" t="n">
        <v>0</v>
      </c>
      <c r="I416" s="10" t="n">
        <v>2</v>
      </c>
      <c r="J416" s="10" t="n">
        <v>0</v>
      </c>
      <c r="K416" s="11" t="n">
        <f aca="false">IF(E416+F416=0,"",E416/(E416+F416))</f>
        <v>1</v>
      </c>
      <c r="L416" s="9" t="str">
        <f aca="false">IF(E416+I416&gt;0,"Yes","No")</f>
        <v>Yes</v>
      </c>
      <c r="M416" s="12" t="s">
        <v>468</v>
      </c>
    </row>
    <row r="417" customFormat="false" ht="15" hidden="false" customHeight="false" outlineLevel="0" collapsed="false">
      <c r="A417" s="13" t="n">
        <v>416</v>
      </c>
      <c r="B417" s="13" t="s">
        <v>799</v>
      </c>
      <c r="C417" s="6" t="n">
        <v>3</v>
      </c>
      <c r="D417" s="6" t="n">
        <v>1</v>
      </c>
      <c r="E417" s="6" t="n">
        <v>4</v>
      </c>
      <c r="F417" s="6" t="n">
        <v>0</v>
      </c>
      <c r="G417" s="6" t="n">
        <v>0</v>
      </c>
      <c r="H417" s="6" t="n">
        <v>0</v>
      </c>
      <c r="I417" s="6" t="n">
        <v>0</v>
      </c>
      <c r="J417" s="6" t="n">
        <v>0</v>
      </c>
      <c r="K417" s="7" t="n">
        <f aca="false">IF(E417+F417=0,"",E417/(E417+F417))</f>
        <v>1</v>
      </c>
      <c r="L417" s="13" t="str">
        <f aca="false">IF(E417+I417&gt;0,"Yes","No")</f>
        <v>Yes</v>
      </c>
      <c r="M417" s="14" t="s">
        <v>800</v>
      </c>
    </row>
    <row r="418" customFormat="false" ht="15" hidden="false" customHeight="false" outlineLevel="0" collapsed="false">
      <c r="A418" s="9" t="n">
        <v>417</v>
      </c>
      <c r="B418" s="9" t="s">
        <v>601</v>
      </c>
      <c r="C418" s="10" t="n">
        <v>16</v>
      </c>
      <c r="D418" s="10" t="n">
        <v>0</v>
      </c>
      <c r="E418" s="10" t="n">
        <v>16</v>
      </c>
      <c r="F418" s="10" t="n">
        <v>1</v>
      </c>
      <c r="G418" s="10" t="n">
        <v>3</v>
      </c>
      <c r="H418" s="10" t="n">
        <v>0</v>
      </c>
      <c r="I418" s="10" t="n">
        <v>3</v>
      </c>
      <c r="J418" s="10" t="n">
        <v>0</v>
      </c>
      <c r="K418" s="11" t="n">
        <f aca="false">IF(E418+F418=0,"",E418/(E418+F418))</f>
        <v>0.941176470588235</v>
      </c>
      <c r="L418" s="9" t="str">
        <f aca="false">IF(E418+I418&gt;0,"Yes","No")</f>
        <v>Yes</v>
      </c>
      <c r="M418" s="12" t="s">
        <v>602</v>
      </c>
    </row>
    <row r="419" customFormat="false" ht="15" hidden="false" customHeight="false" outlineLevel="0" collapsed="false">
      <c r="A419" s="13" t="n">
        <v>418</v>
      </c>
      <c r="B419" s="13" t="s">
        <v>255</v>
      </c>
      <c r="C419" s="6" t="n">
        <v>57</v>
      </c>
      <c r="D419" s="6" t="n">
        <v>73</v>
      </c>
      <c r="E419" s="6" t="n">
        <v>130</v>
      </c>
      <c r="F419" s="6" t="n">
        <v>5</v>
      </c>
      <c r="G419" s="6" t="n">
        <v>44</v>
      </c>
      <c r="H419" s="6" t="n">
        <v>9</v>
      </c>
      <c r="I419" s="6" t="n">
        <v>53</v>
      </c>
      <c r="J419" s="6" t="n">
        <v>0</v>
      </c>
      <c r="K419" s="7" t="n">
        <f aca="false">IF(E419+F419=0,"",E419/(E419+F419))</f>
        <v>0.962962962962963</v>
      </c>
      <c r="L419" s="13" t="str">
        <f aca="false">IF(E419+I419&gt;0,"Yes","No")</f>
        <v>Yes</v>
      </c>
      <c r="M419" s="14" t="s">
        <v>256</v>
      </c>
    </row>
    <row r="420" customFormat="false" ht="15" hidden="false" customHeight="false" outlineLevel="0" collapsed="false">
      <c r="A420" s="9" t="n">
        <v>419</v>
      </c>
      <c r="B420" s="9" t="s">
        <v>857</v>
      </c>
      <c r="C420" s="10" t="n">
        <v>1</v>
      </c>
      <c r="D420" s="10" t="n">
        <v>0</v>
      </c>
      <c r="E420" s="10" t="n">
        <v>1</v>
      </c>
      <c r="F420" s="10" t="n">
        <v>0</v>
      </c>
      <c r="G420" s="10" t="n">
        <v>0</v>
      </c>
      <c r="H420" s="10" t="n">
        <v>1</v>
      </c>
      <c r="I420" s="10" t="n">
        <v>1</v>
      </c>
      <c r="J420" s="10" t="n">
        <v>0</v>
      </c>
      <c r="K420" s="11" t="n">
        <f aca="false">IF(E420+F420=0,"",E420/(E420+F420))</f>
        <v>1</v>
      </c>
      <c r="L420" s="9" t="str">
        <f aca="false">IF(E420+I420&gt;0,"Yes","No")</f>
        <v>Yes</v>
      </c>
      <c r="M420" s="12" t="s">
        <v>858</v>
      </c>
    </row>
    <row r="421" customFormat="false" ht="15" hidden="false" customHeight="false" outlineLevel="0" collapsed="false">
      <c r="A421" s="13" t="n">
        <v>420</v>
      </c>
      <c r="B421" s="13" t="s">
        <v>751</v>
      </c>
      <c r="C421" s="6" t="n">
        <v>3</v>
      </c>
      <c r="D421" s="6" t="n">
        <v>3</v>
      </c>
      <c r="E421" s="6" t="n">
        <v>6</v>
      </c>
      <c r="F421" s="6" t="n">
        <v>0</v>
      </c>
      <c r="G421" s="6" t="n">
        <v>0</v>
      </c>
      <c r="H421" s="6" t="n">
        <v>0</v>
      </c>
      <c r="I421" s="6" t="n">
        <v>0</v>
      </c>
      <c r="J421" s="6" t="n">
        <v>0</v>
      </c>
      <c r="K421" s="7" t="n">
        <f aca="false">IF(E421+F421=0,"",E421/(E421+F421))</f>
        <v>1</v>
      </c>
      <c r="L421" s="13" t="str">
        <f aca="false">IF(E421+I421&gt;0,"Yes","No")</f>
        <v>Yes</v>
      </c>
      <c r="M421" s="14" t="s">
        <v>752</v>
      </c>
    </row>
    <row r="422" customFormat="false" ht="15" hidden="false" customHeight="false" outlineLevel="0" collapsed="false">
      <c r="A422" s="9" t="n">
        <v>421</v>
      </c>
      <c r="B422" s="9" t="s">
        <v>881</v>
      </c>
      <c r="C422" s="10" t="n">
        <v>1</v>
      </c>
      <c r="D422" s="10" t="n">
        <v>0</v>
      </c>
      <c r="E422" s="10" t="n">
        <v>1</v>
      </c>
      <c r="F422" s="10" t="n">
        <v>0</v>
      </c>
      <c r="G422" s="10" t="n">
        <v>0</v>
      </c>
      <c r="H422" s="10" t="n">
        <v>0</v>
      </c>
      <c r="I422" s="10" t="n">
        <v>0</v>
      </c>
      <c r="J422" s="10" t="n">
        <v>0</v>
      </c>
      <c r="K422" s="11" t="n">
        <f aca="false">IF(E422+F422=0,"",E422/(E422+F422))</f>
        <v>1</v>
      </c>
      <c r="L422" s="9" t="str">
        <f aca="false">IF(E422+I422&gt;0,"Yes","No")</f>
        <v>Yes</v>
      </c>
      <c r="M422" s="12" t="s">
        <v>882</v>
      </c>
    </row>
    <row r="423" customFormat="false" ht="15" hidden="false" customHeight="false" outlineLevel="0" collapsed="false">
      <c r="A423" s="13" t="n">
        <v>422</v>
      </c>
      <c r="B423" s="13" t="s">
        <v>555</v>
      </c>
      <c r="C423" s="6" t="n">
        <v>12</v>
      </c>
      <c r="D423" s="6" t="n">
        <v>10</v>
      </c>
      <c r="E423" s="6" t="n">
        <v>22</v>
      </c>
      <c r="F423" s="6" t="n">
        <v>0</v>
      </c>
      <c r="G423" s="6" t="n">
        <v>2</v>
      </c>
      <c r="H423" s="6" t="n">
        <v>1</v>
      </c>
      <c r="I423" s="6" t="n">
        <v>3</v>
      </c>
      <c r="J423" s="6" t="n">
        <v>0</v>
      </c>
      <c r="K423" s="7" t="n">
        <f aca="false">IF(E423+F423=0,"",E423/(E423+F423))</f>
        <v>1</v>
      </c>
      <c r="L423" s="13" t="str">
        <f aca="false">IF(E423+I423&gt;0,"Yes","No")</f>
        <v>Yes</v>
      </c>
      <c r="M423" s="14" t="s">
        <v>556</v>
      </c>
    </row>
    <row r="424" customFormat="false" ht="15" hidden="false" customHeight="false" outlineLevel="0" collapsed="false">
      <c r="A424" s="9" t="n">
        <v>423</v>
      </c>
      <c r="B424" s="9" t="s">
        <v>927</v>
      </c>
      <c r="C424" s="10" t="n">
        <v>0</v>
      </c>
      <c r="D424" s="10" t="n">
        <v>0</v>
      </c>
      <c r="E424" s="10" t="n">
        <v>0</v>
      </c>
      <c r="F424" s="10" t="n">
        <v>0</v>
      </c>
      <c r="G424" s="10" t="n">
        <v>0</v>
      </c>
      <c r="H424" s="10" t="n">
        <v>0</v>
      </c>
      <c r="I424" s="10" t="n">
        <v>0</v>
      </c>
      <c r="J424" s="10" t="n">
        <v>0</v>
      </c>
      <c r="K424" s="11" t="str">
        <f aca="false">IF(E424+F424=0,"",E424/(E424+F424))</f>
        <v/>
      </c>
      <c r="L424" s="9" t="str">
        <f aca="false">IF(E424+I424&gt;0,"Yes","No")</f>
        <v>No</v>
      </c>
      <c r="M424" s="12"/>
    </row>
    <row r="425" customFormat="false" ht="15" hidden="false" customHeight="false" outlineLevel="0" collapsed="false">
      <c r="A425" s="13" t="n">
        <v>424</v>
      </c>
      <c r="B425" s="13" t="s">
        <v>928</v>
      </c>
      <c r="C425" s="6" t="n">
        <v>0</v>
      </c>
      <c r="D425" s="6" t="n">
        <v>0</v>
      </c>
      <c r="E425" s="6" t="n">
        <v>0</v>
      </c>
      <c r="F425" s="6" t="n">
        <v>0</v>
      </c>
      <c r="G425" s="6" t="n">
        <v>0</v>
      </c>
      <c r="H425" s="6" t="n">
        <v>0</v>
      </c>
      <c r="I425" s="6" t="n">
        <v>0</v>
      </c>
      <c r="J425" s="6" t="n">
        <v>0</v>
      </c>
      <c r="K425" s="7" t="str">
        <f aca="false">IF(E425+F425=0,"",E425/(E425+F425))</f>
        <v/>
      </c>
      <c r="L425" s="13" t="str">
        <f aca="false">IF(E425+I425&gt;0,"Yes","No")</f>
        <v>No</v>
      </c>
      <c r="M425" s="14"/>
    </row>
    <row r="426" customFormat="false" ht="15" hidden="false" customHeight="false" outlineLevel="0" collapsed="false">
      <c r="A426" s="9" t="n">
        <v>425</v>
      </c>
      <c r="B426" s="9" t="s">
        <v>737</v>
      </c>
      <c r="C426" s="10" t="n">
        <v>5</v>
      </c>
      <c r="D426" s="10" t="n">
        <v>2</v>
      </c>
      <c r="E426" s="10" t="n">
        <v>7</v>
      </c>
      <c r="F426" s="10" t="n">
        <v>0</v>
      </c>
      <c r="G426" s="10" t="n">
        <v>0</v>
      </c>
      <c r="H426" s="10" t="n">
        <v>0</v>
      </c>
      <c r="I426" s="10" t="n">
        <v>0</v>
      </c>
      <c r="J426" s="10" t="n">
        <v>0</v>
      </c>
      <c r="K426" s="11" t="n">
        <f aca="false">IF(E426+F426=0,"",E426/(E426+F426))</f>
        <v>1</v>
      </c>
      <c r="L426" s="9" t="str">
        <f aca="false">IF(E426+I426&gt;0,"Yes","No")</f>
        <v>Yes</v>
      </c>
      <c r="M426" s="12" t="s">
        <v>738</v>
      </c>
    </row>
    <row r="427" customFormat="false" ht="15" hidden="false" customHeight="false" outlineLevel="0" collapsed="false">
      <c r="A427" s="13" t="n">
        <v>426</v>
      </c>
      <c r="B427" s="13" t="s">
        <v>527</v>
      </c>
      <c r="C427" s="6" t="n">
        <v>18</v>
      </c>
      <c r="D427" s="6" t="n">
        <v>7</v>
      </c>
      <c r="E427" s="6" t="n">
        <v>25</v>
      </c>
      <c r="F427" s="6" t="n">
        <v>0</v>
      </c>
      <c r="G427" s="6" t="n">
        <v>1</v>
      </c>
      <c r="H427" s="6" t="n">
        <v>0</v>
      </c>
      <c r="I427" s="6" t="n">
        <v>1</v>
      </c>
      <c r="J427" s="6" t="n">
        <v>0</v>
      </c>
      <c r="K427" s="7" t="n">
        <f aca="false">IF(E427+F427=0,"",E427/(E427+F427))</f>
        <v>1</v>
      </c>
      <c r="L427" s="13" t="str">
        <f aca="false">IF(E427+I427&gt;0,"Yes","No")</f>
        <v>Yes</v>
      </c>
      <c r="M427" s="14" t="s">
        <v>528</v>
      </c>
    </row>
    <row r="428" customFormat="false" ht="15" hidden="false" customHeight="false" outlineLevel="0" collapsed="false">
      <c r="A428" s="9" t="n">
        <v>427</v>
      </c>
      <c r="B428" s="9" t="s">
        <v>593</v>
      </c>
      <c r="C428" s="10" t="n">
        <v>9</v>
      </c>
      <c r="D428" s="10" t="n">
        <v>7</v>
      </c>
      <c r="E428" s="10" t="n">
        <v>16</v>
      </c>
      <c r="F428" s="10" t="n">
        <v>0</v>
      </c>
      <c r="G428" s="10" t="n">
        <v>3</v>
      </c>
      <c r="H428" s="10" t="n">
        <v>5</v>
      </c>
      <c r="I428" s="10" t="n">
        <v>8</v>
      </c>
      <c r="J428" s="10" t="n">
        <v>1</v>
      </c>
      <c r="K428" s="11" t="n">
        <f aca="false">IF(E428+F428=0,"",E428/(E428+F428))</f>
        <v>1</v>
      </c>
      <c r="L428" s="9" t="str">
        <f aca="false">IF(E428+I428&gt;0,"Yes","No")</f>
        <v>Yes</v>
      </c>
      <c r="M428" s="12" t="s">
        <v>594</v>
      </c>
    </row>
    <row r="429" customFormat="false" ht="15" hidden="false" customHeight="false" outlineLevel="0" collapsed="false">
      <c r="A429" s="13" t="n">
        <v>428</v>
      </c>
      <c r="B429" s="13" t="s">
        <v>801</v>
      </c>
      <c r="C429" s="6" t="n">
        <v>1</v>
      </c>
      <c r="D429" s="6" t="n">
        <v>3</v>
      </c>
      <c r="E429" s="6" t="n">
        <v>4</v>
      </c>
      <c r="F429" s="6" t="n">
        <v>0</v>
      </c>
      <c r="G429" s="6" t="n">
        <v>0</v>
      </c>
      <c r="H429" s="6" t="n">
        <v>0</v>
      </c>
      <c r="I429" s="6" t="n">
        <v>0</v>
      </c>
      <c r="J429" s="6" t="n">
        <v>0</v>
      </c>
      <c r="K429" s="7" t="n">
        <f aca="false">IF(E429+F429=0,"",E429/(E429+F429))</f>
        <v>1</v>
      </c>
      <c r="L429" s="13" t="str">
        <f aca="false">IF(E429+I429&gt;0,"Yes","No")</f>
        <v>Yes</v>
      </c>
      <c r="M429" s="14" t="s">
        <v>802</v>
      </c>
    </row>
    <row r="430" customFormat="false" ht="15" hidden="false" customHeight="false" outlineLevel="0" collapsed="false">
      <c r="A430" s="9" t="n">
        <v>429</v>
      </c>
      <c r="B430" s="9" t="s">
        <v>505</v>
      </c>
      <c r="C430" s="10" t="n">
        <v>9</v>
      </c>
      <c r="D430" s="10" t="n">
        <v>18</v>
      </c>
      <c r="E430" s="10" t="n">
        <v>27</v>
      </c>
      <c r="F430" s="10" t="n">
        <v>0</v>
      </c>
      <c r="G430" s="10" t="n">
        <v>9</v>
      </c>
      <c r="H430" s="10" t="n">
        <v>0</v>
      </c>
      <c r="I430" s="10" t="n">
        <v>9</v>
      </c>
      <c r="J430" s="10" t="n">
        <v>0</v>
      </c>
      <c r="K430" s="11" t="n">
        <f aca="false">IF(E430+F430=0,"",E430/(E430+F430))</f>
        <v>1</v>
      </c>
      <c r="L430" s="9" t="str">
        <f aca="false">IF(E430+I430&gt;0,"Yes","No")</f>
        <v>Yes</v>
      </c>
      <c r="M430" s="12" t="s">
        <v>506</v>
      </c>
    </row>
    <row r="431" customFormat="false" ht="15" hidden="false" customHeight="false" outlineLevel="0" collapsed="false">
      <c r="A431" s="13" t="n">
        <v>430</v>
      </c>
      <c r="B431" s="13" t="s">
        <v>739</v>
      </c>
      <c r="C431" s="6" t="n">
        <v>3</v>
      </c>
      <c r="D431" s="6" t="n">
        <v>4</v>
      </c>
      <c r="E431" s="6" t="n">
        <v>7</v>
      </c>
      <c r="F431" s="6" t="n">
        <v>0</v>
      </c>
      <c r="G431" s="6" t="n">
        <v>0</v>
      </c>
      <c r="H431" s="6" t="n">
        <v>0</v>
      </c>
      <c r="I431" s="6" t="n">
        <v>0</v>
      </c>
      <c r="J431" s="6" t="n">
        <v>0</v>
      </c>
      <c r="K431" s="7" t="n">
        <f aca="false">IF(E431+F431=0,"",E431/(E431+F431))</f>
        <v>1</v>
      </c>
      <c r="L431" s="13" t="str">
        <f aca="false">IF(E431+I431&gt;0,"Yes","No")</f>
        <v>Yes</v>
      </c>
      <c r="M431" s="14" t="s">
        <v>740</v>
      </c>
    </row>
    <row r="432" customFormat="false" ht="15" hidden="false" customHeight="false" outlineLevel="0" collapsed="false">
      <c r="A432" s="9" t="n">
        <v>431</v>
      </c>
      <c r="B432" s="9" t="s">
        <v>929</v>
      </c>
      <c r="C432" s="10" t="n">
        <v>0</v>
      </c>
      <c r="D432" s="10" t="n">
        <v>0</v>
      </c>
      <c r="E432" s="10" t="n">
        <v>0</v>
      </c>
      <c r="F432" s="10" t="n">
        <v>0</v>
      </c>
      <c r="G432" s="10" t="n">
        <v>0</v>
      </c>
      <c r="H432" s="10" t="n">
        <v>0</v>
      </c>
      <c r="I432" s="10" t="n">
        <v>0</v>
      </c>
      <c r="J432" s="10" t="n">
        <v>0</v>
      </c>
      <c r="K432" s="11" t="str">
        <f aca="false">IF(E432+F432=0,"",E432/(E432+F432))</f>
        <v/>
      </c>
      <c r="L432" s="9" t="str">
        <f aca="false">IF(E432+I432&gt;0,"Yes","No")</f>
        <v>No</v>
      </c>
      <c r="M432" s="12"/>
    </row>
    <row r="433" customFormat="false" ht="15" hidden="false" customHeight="false" outlineLevel="0" collapsed="false">
      <c r="A433" s="13" t="n">
        <v>432</v>
      </c>
      <c r="B433" s="13" t="s">
        <v>835</v>
      </c>
      <c r="C433" s="6" t="n">
        <v>0</v>
      </c>
      <c r="D433" s="6" t="n">
        <v>2</v>
      </c>
      <c r="E433" s="6" t="n">
        <v>2</v>
      </c>
      <c r="F433" s="6" t="n">
        <v>0</v>
      </c>
      <c r="G433" s="6" t="n">
        <v>0</v>
      </c>
      <c r="H433" s="6" t="n">
        <v>1</v>
      </c>
      <c r="I433" s="6" t="n">
        <v>1</v>
      </c>
      <c r="J433" s="6" t="n">
        <v>0</v>
      </c>
      <c r="K433" s="7" t="n">
        <f aca="false">IF(E433+F433=0,"",E433/(E433+F433))</f>
        <v>1</v>
      </c>
      <c r="L433" s="13" t="str">
        <f aca="false">IF(E433+I433&gt;0,"Yes","No")</f>
        <v>Yes</v>
      </c>
      <c r="M433" s="14" t="s">
        <v>836</v>
      </c>
    </row>
    <row r="434" customFormat="false" ht="15" hidden="false" customHeight="false" outlineLevel="0" collapsed="false">
      <c r="A434" s="9" t="n">
        <v>433</v>
      </c>
      <c r="B434" s="9" t="s">
        <v>719</v>
      </c>
      <c r="C434" s="10" t="n">
        <v>7</v>
      </c>
      <c r="D434" s="10" t="n">
        <v>1</v>
      </c>
      <c r="E434" s="10" t="n">
        <v>8</v>
      </c>
      <c r="F434" s="10" t="n">
        <v>0</v>
      </c>
      <c r="G434" s="10" t="n">
        <v>1</v>
      </c>
      <c r="H434" s="10" t="n">
        <v>0</v>
      </c>
      <c r="I434" s="10" t="n">
        <v>1</v>
      </c>
      <c r="J434" s="10" t="n">
        <v>0</v>
      </c>
      <c r="K434" s="11" t="n">
        <f aca="false">IF(E434+F434=0,"",E434/(E434+F434))</f>
        <v>1</v>
      </c>
      <c r="L434" s="9" t="str">
        <f aca="false">IF(E434+I434&gt;0,"Yes","No")</f>
        <v>Yes</v>
      </c>
      <c r="M434" s="12" t="s">
        <v>720</v>
      </c>
    </row>
    <row r="435" customFormat="false" ht="15" hidden="false" customHeight="false" outlineLevel="0" collapsed="false">
      <c r="A435" s="13" t="n">
        <v>434</v>
      </c>
      <c r="B435" s="13" t="s">
        <v>609</v>
      </c>
      <c r="C435" s="6" t="n">
        <v>6</v>
      </c>
      <c r="D435" s="6" t="n">
        <v>10</v>
      </c>
      <c r="E435" s="6" t="n">
        <v>16</v>
      </c>
      <c r="F435" s="6" t="n">
        <v>0</v>
      </c>
      <c r="G435" s="6" t="n">
        <v>0</v>
      </c>
      <c r="H435" s="6" t="n">
        <v>0</v>
      </c>
      <c r="I435" s="6" t="n">
        <v>0</v>
      </c>
      <c r="J435" s="6" t="n">
        <v>1</v>
      </c>
      <c r="K435" s="7" t="n">
        <f aca="false">IF(E435+F435=0,"",E435/(E435+F435))</f>
        <v>1</v>
      </c>
      <c r="L435" s="13" t="str">
        <f aca="false">IF(E435+I435&gt;0,"Yes","No")</f>
        <v>Yes</v>
      </c>
      <c r="M435" s="14" t="s">
        <v>610</v>
      </c>
    </row>
    <row r="436" customFormat="false" ht="15" hidden="false" customHeight="false" outlineLevel="0" collapsed="false">
      <c r="A436" s="9" t="n">
        <v>435</v>
      </c>
      <c r="B436" s="9" t="s">
        <v>451</v>
      </c>
      <c r="C436" s="10" t="n">
        <v>23</v>
      </c>
      <c r="D436" s="10" t="n">
        <v>17</v>
      </c>
      <c r="E436" s="10" t="n">
        <v>40</v>
      </c>
      <c r="F436" s="10" t="n">
        <v>0</v>
      </c>
      <c r="G436" s="10" t="n">
        <v>1</v>
      </c>
      <c r="H436" s="10" t="n">
        <v>3</v>
      </c>
      <c r="I436" s="10" t="n">
        <v>4</v>
      </c>
      <c r="J436" s="10" t="n">
        <v>1</v>
      </c>
      <c r="K436" s="11" t="n">
        <f aca="false">IF(E436+F436=0,"",E436/(E436+F436))</f>
        <v>1</v>
      </c>
      <c r="L436" s="9" t="str">
        <f aca="false">IF(E436+I436&gt;0,"Yes","No")</f>
        <v>Yes</v>
      </c>
      <c r="M436" s="12" t="s">
        <v>452</v>
      </c>
    </row>
    <row r="437" customFormat="false" ht="15" hidden="false" customHeight="false" outlineLevel="0" collapsed="false">
      <c r="A437" s="13" t="n">
        <v>436</v>
      </c>
      <c r="B437" s="13" t="s">
        <v>321</v>
      </c>
      <c r="C437" s="6" t="n">
        <v>35</v>
      </c>
      <c r="D437" s="6" t="n">
        <v>53</v>
      </c>
      <c r="E437" s="6" t="n">
        <v>88</v>
      </c>
      <c r="F437" s="6" t="n">
        <v>0</v>
      </c>
      <c r="G437" s="6" t="n">
        <v>1</v>
      </c>
      <c r="H437" s="6" t="n">
        <v>12</v>
      </c>
      <c r="I437" s="6" t="n">
        <v>13</v>
      </c>
      <c r="J437" s="6" t="n">
        <v>0</v>
      </c>
      <c r="K437" s="7" t="n">
        <f aca="false">IF(E437+F437=0,"",E437/(E437+F437))</f>
        <v>1</v>
      </c>
      <c r="L437" s="13" t="str">
        <f aca="false">IF(E437+I437&gt;0,"Yes","No")</f>
        <v>Yes</v>
      </c>
      <c r="M437" s="14" t="s">
        <v>322</v>
      </c>
    </row>
    <row r="438" customFormat="false" ht="15" hidden="false" customHeight="false" outlineLevel="0" collapsed="false">
      <c r="A438" s="9" t="n">
        <v>437</v>
      </c>
      <c r="B438" s="9" t="s">
        <v>729</v>
      </c>
      <c r="C438" s="10" t="n">
        <v>6</v>
      </c>
      <c r="D438" s="10" t="n">
        <v>1</v>
      </c>
      <c r="E438" s="10" t="n">
        <v>7</v>
      </c>
      <c r="F438" s="10" t="n">
        <v>0</v>
      </c>
      <c r="G438" s="10" t="n">
        <v>2</v>
      </c>
      <c r="H438" s="10" t="n">
        <v>0</v>
      </c>
      <c r="I438" s="10" t="n">
        <v>2</v>
      </c>
      <c r="J438" s="10" t="n">
        <v>0</v>
      </c>
      <c r="K438" s="11" t="n">
        <f aca="false">IF(E438+F438=0,"",E438/(E438+F438))</f>
        <v>1</v>
      </c>
      <c r="L438" s="9" t="str">
        <f aca="false">IF(E438+I438&gt;0,"Yes","No")</f>
        <v>Yes</v>
      </c>
      <c r="M438" s="12" t="s">
        <v>730</v>
      </c>
    </row>
    <row r="439" customFormat="false" ht="15" hidden="false" customHeight="false" outlineLevel="0" collapsed="false">
      <c r="A439" s="13" t="n">
        <v>438</v>
      </c>
      <c r="B439" s="13" t="s">
        <v>395</v>
      </c>
      <c r="C439" s="6" t="n">
        <v>34</v>
      </c>
      <c r="D439" s="6" t="n">
        <v>18</v>
      </c>
      <c r="E439" s="6" t="n">
        <v>52</v>
      </c>
      <c r="F439" s="6" t="n">
        <v>2</v>
      </c>
      <c r="G439" s="6" t="n">
        <v>2</v>
      </c>
      <c r="H439" s="6" t="n">
        <v>3</v>
      </c>
      <c r="I439" s="6" t="n">
        <v>5</v>
      </c>
      <c r="J439" s="6" t="n">
        <v>0</v>
      </c>
      <c r="K439" s="7" t="n">
        <f aca="false">IF(E439+F439=0,"",E439/(E439+F439))</f>
        <v>0.962962962962963</v>
      </c>
      <c r="L439" s="13" t="str">
        <f aca="false">IF(E439+I439&gt;0,"Yes","No")</f>
        <v>Yes</v>
      </c>
      <c r="M439" s="14" t="s">
        <v>396</v>
      </c>
    </row>
    <row r="440" customFormat="false" ht="15" hidden="false" customHeight="false" outlineLevel="0" collapsed="false">
      <c r="A440" s="9" t="n">
        <v>439</v>
      </c>
      <c r="B440" s="9" t="s">
        <v>731</v>
      </c>
      <c r="C440" s="10" t="n">
        <v>2</v>
      </c>
      <c r="D440" s="10" t="n">
        <v>5</v>
      </c>
      <c r="E440" s="10" t="n">
        <v>7</v>
      </c>
      <c r="F440" s="10" t="n">
        <v>0</v>
      </c>
      <c r="G440" s="10" t="n">
        <v>0</v>
      </c>
      <c r="H440" s="10" t="n">
        <v>2</v>
      </c>
      <c r="I440" s="10" t="n">
        <v>2</v>
      </c>
      <c r="J440" s="10" t="n">
        <v>0</v>
      </c>
      <c r="K440" s="11" t="n">
        <f aca="false">IF(E440+F440=0,"",E440/(E440+F440))</f>
        <v>1</v>
      </c>
      <c r="L440" s="9" t="str">
        <f aca="false">IF(E440+I440&gt;0,"Yes","No")</f>
        <v>Yes</v>
      </c>
      <c r="M440" s="12" t="s">
        <v>732</v>
      </c>
    </row>
    <row r="441" customFormat="false" ht="15" hidden="false" customHeight="false" outlineLevel="0" collapsed="false">
      <c r="A441" s="13" t="n">
        <v>440</v>
      </c>
      <c r="B441" s="13" t="s">
        <v>437</v>
      </c>
      <c r="C441" s="6" t="n">
        <v>26</v>
      </c>
      <c r="D441" s="6" t="n">
        <v>16</v>
      </c>
      <c r="E441" s="6" t="n">
        <v>42</v>
      </c>
      <c r="F441" s="6" t="n">
        <v>0</v>
      </c>
      <c r="G441" s="6" t="n">
        <v>4</v>
      </c>
      <c r="H441" s="6" t="n">
        <v>1</v>
      </c>
      <c r="I441" s="6" t="n">
        <v>5</v>
      </c>
      <c r="J441" s="6" t="n">
        <v>0</v>
      </c>
      <c r="K441" s="7" t="n">
        <f aca="false">IF(E441+F441=0,"",E441/(E441+F441))</f>
        <v>1</v>
      </c>
      <c r="L441" s="13" t="str">
        <f aca="false">IF(E441+I441&gt;0,"Yes","No")</f>
        <v>Yes</v>
      </c>
      <c r="M441" s="14" t="s">
        <v>438</v>
      </c>
    </row>
    <row r="442" customFormat="false" ht="15" hidden="false" customHeight="false" outlineLevel="0" collapsed="false">
      <c r="A442" s="9" t="n">
        <v>441</v>
      </c>
      <c r="B442" s="9" t="s">
        <v>699</v>
      </c>
      <c r="C442" s="10" t="n">
        <v>8</v>
      </c>
      <c r="D442" s="10" t="n">
        <v>1</v>
      </c>
      <c r="E442" s="10" t="n">
        <v>9</v>
      </c>
      <c r="F442" s="10" t="n">
        <v>0</v>
      </c>
      <c r="G442" s="10" t="n">
        <v>1</v>
      </c>
      <c r="H442" s="10" t="n">
        <v>1</v>
      </c>
      <c r="I442" s="10" t="n">
        <v>2</v>
      </c>
      <c r="J442" s="10" t="n">
        <v>0</v>
      </c>
      <c r="K442" s="11" t="n">
        <f aca="false">IF(E442+F442=0,"",E442/(E442+F442))</f>
        <v>1</v>
      </c>
      <c r="L442" s="9" t="str">
        <f aca="false">IF(E442+I442&gt;0,"Yes","No")</f>
        <v>Yes</v>
      </c>
      <c r="M442" s="12" t="s">
        <v>700</v>
      </c>
    </row>
    <row r="443" customFormat="false" ht="15" hidden="false" customHeight="false" outlineLevel="0" collapsed="false">
      <c r="A443" s="13" t="n">
        <v>442</v>
      </c>
      <c r="B443" s="13" t="s">
        <v>673</v>
      </c>
      <c r="C443" s="6" t="n">
        <v>10</v>
      </c>
      <c r="D443" s="6" t="n">
        <v>1</v>
      </c>
      <c r="E443" s="6" t="n">
        <v>11</v>
      </c>
      <c r="F443" s="6" t="n">
        <v>0</v>
      </c>
      <c r="G443" s="6" t="n">
        <v>2</v>
      </c>
      <c r="H443" s="6" t="n">
        <v>0</v>
      </c>
      <c r="I443" s="6" t="n">
        <v>2</v>
      </c>
      <c r="J443" s="6" t="n">
        <v>0</v>
      </c>
      <c r="K443" s="7" t="n">
        <f aca="false">IF(E443+F443=0,"",E443/(E443+F443))</f>
        <v>1</v>
      </c>
      <c r="L443" s="13" t="str">
        <f aca="false">IF(E443+I443&gt;0,"Yes","No")</f>
        <v>Yes</v>
      </c>
      <c r="M443" s="14" t="s">
        <v>674</v>
      </c>
    </row>
    <row r="444" customFormat="false" ht="15" hidden="false" customHeight="false" outlineLevel="0" collapsed="false">
      <c r="A444" s="9" t="n">
        <v>443</v>
      </c>
      <c r="B444" s="9" t="s">
        <v>571</v>
      </c>
      <c r="C444" s="10" t="n">
        <v>9</v>
      </c>
      <c r="D444" s="10" t="n">
        <v>10</v>
      </c>
      <c r="E444" s="10" t="n">
        <v>19</v>
      </c>
      <c r="F444" s="10" t="n">
        <v>0</v>
      </c>
      <c r="G444" s="10" t="n">
        <v>3</v>
      </c>
      <c r="H444" s="10" t="n">
        <v>2</v>
      </c>
      <c r="I444" s="10" t="n">
        <v>5</v>
      </c>
      <c r="J444" s="10" t="n">
        <v>1</v>
      </c>
      <c r="K444" s="11" t="n">
        <f aca="false">IF(E444+F444=0,"",E444/(E444+F444))</f>
        <v>1</v>
      </c>
      <c r="L444" s="9" t="str">
        <f aca="false">IF(E444+I444&gt;0,"Yes","No")</f>
        <v>Yes</v>
      </c>
      <c r="M444" s="12" t="s">
        <v>572</v>
      </c>
    </row>
    <row r="445" customFormat="false" ht="15" hidden="false" customHeight="false" outlineLevel="0" collapsed="false">
      <c r="A445" s="13" t="n">
        <v>444</v>
      </c>
      <c r="B445" s="13" t="s">
        <v>930</v>
      </c>
      <c r="C445" s="6" t="n">
        <v>0</v>
      </c>
      <c r="D445" s="6" t="n">
        <v>0</v>
      </c>
      <c r="E445" s="6" t="n">
        <v>0</v>
      </c>
      <c r="F445" s="6" t="n">
        <v>0</v>
      </c>
      <c r="G445" s="6" t="n">
        <v>0</v>
      </c>
      <c r="H445" s="6" t="n">
        <v>0</v>
      </c>
      <c r="I445" s="6" t="n">
        <v>0</v>
      </c>
      <c r="J445" s="6" t="n">
        <v>0</v>
      </c>
      <c r="K445" s="7" t="str">
        <f aca="false">IF(E445+F445=0,"",E445/(E445+F445))</f>
        <v/>
      </c>
      <c r="L445" s="13" t="str">
        <f aca="false">IF(E445+I445&gt;0,"Yes","No")</f>
        <v>No</v>
      </c>
      <c r="M445" s="14"/>
    </row>
    <row r="446" customFormat="false" ht="15" hidden="false" customHeight="false" outlineLevel="0" collapsed="false">
      <c r="A446" s="9" t="n">
        <v>445</v>
      </c>
      <c r="B446" s="9" t="s">
        <v>597</v>
      </c>
      <c r="C446" s="10" t="n">
        <v>5</v>
      </c>
      <c r="D446" s="10" t="n">
        <v>11</v>
      </c>
      <c r="E446" s="10" t="n">
        <v>16</v>
      </c>
      <c r="F446" s="10" t="n">
        <v>1</v>
      </c>
      <c r="G446" s="10" t="n">
        <v>2</v>
      </c>
      <c r="H446" s="10" t="n">
        <v>4</v>
      </c>
      <c r="I446" s="10" t="n">
        <v>6</v>
      </c>
      <c r="J446" s="10" t="n">
        <v>0</v>
      </c>
      <c r="K446" s="11" t="n">
        <f aca="false">IF(E446+F446=0,"",E446/(E446+F446))</f>
        <v>0.941176470588235</v>
      </c>
      <c r="L446" s="9" t="str">
        <f aca="false">IF(E446+I446&gt;0,"Yes","No")</f>
        <v>Yes</v>
      </c>
      <c r="M446" s="12" t="s">
        <v>598</v>
      </c>
    </row>
    <row r="447" customFormat="false" ht="15" hidden="false" customHeight="false" outlineLevel="0" collapsed="false">
      <c r="A447" s="13" t="n">
        <v>446</v>
      </c>
      <c r="B447" s="13" t="s">
        <v>285</v>
      </c>
      <c r="C447" s="6" t="n">
        <v>57</v>
      </c>
      <c r="D447" s="6" t="n">
        <v>57</v>
      </c>
      <c r="E447" s="6" t="n">
        <v>114</v>
      </c>
      <c r="F447" s="6" t="n">
        <v>1</v>
      </c>
      <c r="G447" s="6" t="n">
        <v>5</v>
      </c>
      <c r="H447" s="6" t="n">
        <v>20</v>
      </c>
      <c r="I447" s="6" t="n">
        <v>25</v>
      </c>
      <c r="J447" s="6" t="n">
        <v>0</v>
      </c>
      <c r="K447" s="7" t="n">
        <f aca="false">IF(E447+F447=0,"",E447/(E447+F447))</f>
        <v>0.991304347826087</v>
      </c>
      <c r="L447" s="13" t="str">
        <f aca="false">IF(E447+I447&gt;0,"Yes","No")</f>
        <v>Yes</v>
      </c>
      <c r="M447" s="14" t="s">
        <v>286</v>
      </c>
    </row>
    <row r="448" customFormat="false" ht="15" hidden="false" customHeight="false" outlineLevel="0" collapsed="false">
      <c r="A448" s="9" t="n">
        <v>447</v>
      </c>
      <c r="B448" s="9" t="s">
        <v>627</v>
      </c>
      <c r="C448" s="10" t="n">
        <v>8</v>
      </c>
      <c r="D448" s="10" t="n">
        <v>6</v>
      </c>
      <c r="E448" s="10" t="n">
        <v>14</v>
      </c>
      <c r="F448" s="10" t="n">
        <v>0</v>
      </c>
      <c r="G448" s="10" t="n">
        <v>5</v>
      </c>
      <c r="H448" s="10" t="n">
        <v>1</v>
      </c>
      <c r="I448" s="10" t="n">
        <v>6</v>
      </c>
      <c r="J448" s="10" t="n">
        <v>0</v>
      </c>
      <c r="K448" s="11" t="n">
        <f aca="false">IF(E448+F448=0,"",E448/(E448+F448))</f>
        <v>1</v>
      </c>
      <c r="L448" s="9" t="str">
        <f aca="false">IF(E448+I448&gt;0,"Yes","No")</f>
        <v>Yes</v>
      </c>
      <c r="M448" s="12" t="s">
        <v>628</v>
      </c>
    </row>
    <row r="449" customFormat="false" ht="15" hidden="false" customHeight="false" outlineLevel="0" collapsed="false">
      <c r="A449" s="13" t="n">
        <v>448</v>
      </c>
      <c r="B449" s="13" t="s">
        <v>757</v>
      </c>
      <c r="C449" s="6" t="n">
        <v>3</v>
      </c>
      <c r="D449" s="6" t="n">
        <v>2</v>
      </c>
      <c r="E449" s="6" t="n">
        <v>5</v>
      </c>
      <c r="F449" s="6" t="n">
        <v>0</v>
      </c>
      <c r="G449" s="6" t="n">
        <v>2</v>
      </c>
      <c r="H449" s="6" t="n">
        <v>0</v>
      </c>
      <c r="I449" s="6" t="n">
        <v>2</v>
      </c>
      <c r="J449" s="6" t="n">
        <v>0</v>
      </c>
      <c r="K449" s="7" t="n">
        <f aca="false">IF(E449+F449=0,"",E449/(E449+F449))</f>
        <v>1</v>
      </c>
      <c r="L449" s="13" t="str">
        <f aca="false">IF(E449+I449&gt;0,"Yes","No")</f>
        <v>Yes</v>
      </c>
      <c r="M449" s="14" t="s">
        <v>758</v>
      </c>
    </row>
    <row r="450" customFormat="false" ht="15" hidden="false" customHeight="false" outlineLevel="0" collapsed="false">
      <c r="A450" s="9" t="n">
        <v>449</v>
      </c>
      <c r="B450" s="9" t="s">
        <v>225</v>
      </c>
      <c r="C450" s="10" t="n">
        <v>77</v>
      </c>
      <c r="D450" s="10" t="n">
        <v>87</v>
      </c>
      <c r="E450" s="10" t="n">
        <v>164</v>
      </c>
      <c r="F450" s="10" t="n">
        <v>5</v>
      </c>
      <c r="G450" s="10" t="n">
        <v>58</v>
      </c>
      <c r="H450" s="10" t="n">
        <v>6</v>
      </c>
      <c r="I450" s="10" t="n">
        <v>64</v>
      </c>
      <c r="J450" s="10" t="n">
        <v>1</v>
      </c>
      <c r="K450" s="11" t="n">
        <f aca="false">IF(E450+F450=0,"",E450/(E450+F450))</f>
        <v>0.970414201183432</v>
      </c>
      <c r="L450" s="9" t="str">
        <f aca="false">IF(E450+I450&gt;0,"Yes","No")</f>
        <v>Yes</v>
      </c>
      <c r="M450" s="12" t="s">
        <v>226</v>
      </c>
    </row>
    <row r="451" customFormat="false" ht="15" hidden="false" customHeight="false" outlineLevel="0" collapsed="false">
      <c r="A451" s="13" t="n">
        <v>450</v>
      </c>
      <c r="B451" s="13" t="s">
        <v>361</v>
      </c>
      <c r="C451" s="6" t="n">
        <v>43</v>
      </c>
      <c r="D451" s="6" t="n">
        <v>24</v>
      </c>
      <c r="E451" s="6" t="n">
        <v>67</v>
      </c>
      <c r="F451" s="6" t="n">
        <v>0</v>
      </c>
      <c r="G451" s="6" t="n">
        <v>2</v>
      </c>
      <c r="H451" s="6" t="n">
        <v>10</v>
      </c>
      <c r="I451" s="6" t="n">
        <v>12</v>
      </c>
      <c r="J451" s="6" t="n">
        <v>0</v>
      </c>
      <c r="K451" s="7" t="n">
        <f aca="false">IF(E451+F451=0,"",E451/(E451+F451))</f>
        <v>1</v>
      </c>
      <c r="L451" s="13" t="str">
        <f aca="false">IF(E451+I451&gt;0,"Yes","No")</f>
        <v>Yes</v>
      </c>
      <c r="M451" s="14" t="s">
        <v>362</v>
      </c>
    </row>
    <row r="452" customFormat="false" ht="15" hidden="false" customHeight="false" outlineLevel="0" collapsed="false">
      <c r="A452" s="9" t="n">
        <v>451</v>
      </c>
      <c r="B452" s="9" t="s">
        <v>459</v>
      </c>
      <c r="C452" s="10" t="n">
        <v>11</v>
      </c>
      <c r="D452" s="10" t="n">
        <v>26</v>
      </c>
      <c r="E452" s="10" t="n">
        <v>37</v>
      </c>
      <c r="F452" s="10" t="n">
        <v>0</v>
      </c>
      <c r="G452" s="10" t="n">
        <v>2</v>
      </c>
      <c r="H452" s="10" t="n">
        <v>4</v>
      </c>
      <c r="I452" s="10" t="n">
        <v>6</v>
      </c>
      <c r="J452" s="10" t="n">
        <v>0</v>
      </c>
      <c r="K452" s="11" t="n">
        <f aca="false">IF(E452+F452=0,"",E452/(E452+F452))</f>
        <v>1</v>
      </c>
      <c r="L452" s="9" t="str">
        <f aca="false">IF(E452+I452&gt;0,"Yes","No")</f>
        <v>Yes</v>
      </c>
      <c r="M452" s="12" t="s">
        <v>460</v>
      </c>
    </row>
    <row r="453" customFormat="false" ht="15" hidden="false" customHeight="false" outlineLevel="0" collapsed="false">
      <c r="A453" s="13" t="n">
        <v>452</v>
      </c>
      <c r="B453" s="13" t="s">
        <v>931</v>
      </c>
      <c r="C453" s="6" t="n">
        <v>0</v>
      </c>
      <c r="D453" s="6" t="n">
        <v>0</v>
      </c>
      <c r="E453" s="6" t="n">
        <v>0</v>
      </c>
      <c r="F453" s="6" t="n">
        <v>0</v>
      </c>
      <c r="G453" s="6" t="n">
        <v>0</v>
      </c>
      <c r="H453" s="6" t="n">
        <v>0</v>
      </c>
      <c r="I453" s="6" t="n">
        <v>0</v>
      </c>
      <c r="J453" s="6" t="n">
        <v>0</v>
      </c>
      <c r="K453" s="7" t="str">
        <f aca="false">IF(E453+F453=0,"",E453/(E453+F453))</f>
        <v/>
      </c>
      <c r="L453" s="13" t="str">
        <f aca="false">IF(E453+I453&gt;0,"Yes","No")</f>
        <v>No</v>
      </c>
      <c r="M453" s="14"/>
    </row>
    <row r="454" customFormat="false" ht="15" hidden="false" customHeight="false" outlineLevel="0" collapsed="false">
      <c r="A454" s="9" t="n">
        <v>453</v>
      </c>
      <c r="B454" s="9" t="s">
        <v>585</v>
      </c>
      <c r="C454" s="10" t="n">
        <v>2</v>
      </c>
      <c r="D454" s="10" t="n">
        <v>15</v>
      </c>
      <c r="E454" s="10" t="n">
        <v>17</v>
      </c>
      <c r="F454" s="10" t="n">
        <v>0</v>
      </c>
      <c r="G454" s="10" t="n">
        <v>1</v>
      </c>
      <c r="H454" s="10" t="n">
        <v>3</v>
      </c>
      <c r="I454" s="10" t="n">
        <v>4</v>
      </c>
      <c r="J454" s="10" t="n">
        <v>0</v>
      </c>
      <c r="K454" s="11" t="n">
        <f aca="false">IF(E454+F454=0,"",E454/(E454+F454))</f>
        <v>1</v>
      </c>
      <c r="L454" s="9" t="str">
        <f aca="false">IF(E454+I454&gt;0,"Yes","No")</f>
        <v>Yes</v>
      </c>
      <c r="M454" s="12" t="s">
        <v>586</v>
      </c>
    </row>
    <row r="455" customFormat="false" ht="15" hidden="false" customHeight="false" outlineLevel="0" collapsed="false">
      <c r="A455" s="13" t="n">
        <v>454</v>
      </c>
      <c r="B455" s="13" t="s">
        <v>565</v>
      </c>
      <c r="C455" s="6" t="n">
        <v>8</v>
      </c>
      <c r="D455" s="6" t="n">
        <v>11</v>
      </c>
      <c r="E455" s="6" t="n">
        <v>19</v>
      </c>
      <c r="F455" s="6" t="n">
        <v>1</v>
      </c>
      <c r="G455" s="6" t="n">
        <v>8</v>
      </c>
      <c r="H455" s="6" t="n">
        <v>2</v>
      </c>
      <c r="I455" s="6" t="n">
        <v>10</v>
      </c>
      <c r="J455" s="6" t="n">
        <v>0</v>
      </c>
      <c r="K455" s="7" t="n">
        <f aca="false">IF(E455+F455=0,"",E455/(E455+F455))</f>
        <v>0.95</v>
      </c>
      <c r="L455" s="13" t="str">
        <f aca="false">IF(E455+I455&gt;0,"Yes","No")</f>
        <v>Yes</v>
      </c>
      <c r="M455" s="14" t="s">
        <v>566</v>
      </c>
    </row>
    <row r="456" customFormat="false" ht="15" hidden="false" customHeight="false" outlineLevel="0" collapsed="false">
      <c r="A456" s="9" t="n">
        <v>455</v>
      </c>
      <c r="B456" s="9" t="s">
        <v>733</v>
      </c>
      <c r="C456" s="10" t="n">
        <v>6</v>
      </c>
      <c r="D456" s="10" t="n">
        <v>1</v>
      </c>
      <c r="E456" s="10" t="n">
        <v>7</v>
      </c>
      <c r="F456" s="10" t="n">
        <v>0</v>
      </c>
      <c r="G456" s="10" t="n">
        <v>0</v>
      </c>
      <c r="H456" s="10" t="n">
        <v>2</v>
      </c>
      <c r="I456" s="10" t="n">
        <v>2</v>
      </c>
      <c r="J456" s="10" t="n">
        <v>0</v>
      </c>
      <c r="K456" s="11" t="n">
        <f aca="false">IF(E456+F456=0,"",E456/(E456+F456))</f>
        <v>1</v>
      </c>
      <c r="L456" s="9" t="str">
        <f aca="false">IF(E456+I456&gt;0,"Yes","No")</f>
        <v>Yes</v>
      </c>
      <c r="M456" s="12" t="s">
        <v>734</v>
      </c>
    </row>
    <row r="457" customFormat="false" ht="15" hidden="false" customHeight="false" outlineLevel="0" collapsed="false">
      <c r="A457" s="13" t="n">
        <v>456</v>
      </c>
      <c r="B457" s="13" t="s">
        <v>932</v>
      </c>
      <c r="C457" s="6" t="n">
        <v>0</v>
      </c>
      <c r="D457" s="6" t="n">
        <v>0</v>
      </c>
      <c r="E457" s="6" t="n">
        <v>0</v>
      </c>
      <c r="F457" s="6" t="n">
        <v>0</v>
      </c>
      <c r="G457" s="6" t="n">
        <v>0</v>
      </c>
      <c r="H457" s="6" t="n">
        <v>0</v>
      </c>
      <c r="I457" s="6" t="n">
        <v>0</v>
      </c>
      <c r="J457" s="6" t="n">
        <v>0</v>
      </c>
      <c r="K457" s="7" t="str">
        <f aca="false">IF(E457+F457=0,"",E457/(E457+F457))</f>
        <v/>
      </c>
      <c r="L457" s="13" t="str">
        <f aca="false">IF(E457+I457&gt;0,"Yes","No")</f>
        <v>No</v>
      </c>
      <c r="M457" s="14"/>
    </row>
    <row r="458" customFormat="false" ht="15" hidden="false" customHeight="false" outlineLevel="0" collapsed="false">
      <c r="A458" s="9" t="n">
        <v>457</v>
      </c>
      <c r="B458" s="9" t="s">
        <v>735</v>
      </c>
      <c r="C458" s="10" t="n">
        <v>6</v>
      </c>
      <c r="D458" s="10" t="n">
        <v>1</v>
      </c>
      <c r="E458" s="10" t="n">
        <v>7</v>
      </c>
      <c r="F458" s="10" t="n">
        <v>0</v>
      </c>
      <c r="G458" s="10" t="n">
        <v>1</v>
      </c>
      <c r="H458" s="10" t="n">
        <v>0</v>
      </c>
      <c r="I458" s="10" t="n">
        <v>1</v>
      </c>
      <c r="J458" s="10" t="n">
        <v>0</v>
      </c>
      <c r="K458" s="11" t="n">
        <f aca="false">IF(E458+F458=0,"",E458/(E458+F458))</f>
        <v>1</v>
      </c>
      <c r="L458" s="9" t="str">
        <f aca="false">IF(E458+I458&gt;0,"Yes","No")</f>
        <v>Yes</v>
      </c>
      <c r="M458" s="12" t="s">
        <v>736</v>
      </c>
    </row>
    <row r="459" customFormat="false" ht="15" hidden="false" customHeight="false" outlineLevel="0" collapsed="false">
      <c r="A459" s="13" t="n">
        <v>458</v>
      </c>
      <c r="B459" s="13" t="s">
        <v>827</v>
      </c>
      <c r="C459" s="6" t="n">
        <v>1</v>
      </c>
      <c r="D459" s="6" t="n">
        <v>1</v>
      </c>
      <c r="E459" s="6" t="n">
        <v>2</v>
      </c>
      <c r="F459" s="6" t="n">
        <v>0</v>
      </c>
      <c r="G459" s="6" t="n">
        <v>3</v>
      </c>
      <c r="H459" s="6" t="n">
        <v>0</v>
      </c>
      <c r="I459" s="6" t="n">
        <v>3</v>
      </c>
      <c r="J459" s="6" t="n">
        <v>0</v>
      </c>
      <c r="K459" s="7" t="n">
        <f aca="false">IF(E459+F459=0,"",E459/(E459+F459))</f>
        <v>1</v>
      </c>
      <c r="L459" s="13" t="str">
        <f aca="false">IF(E459+I459&gt;0,"Yes","No")</f>
        <v>Yes</v>
      </c>
      <c r="M459" s="14" t="s">
        <v>828</v>
      </c>
    </row>
    <row r="460" customFormat="false" ht="15" hidden="false" customHeight="false" outlineLevel="0" collapsed="false">
      <c r="A460" s="9" t="n">
        <v>459</v>
      </c>
      <c r="B460" s="9" t="s">
        <v>933</v>
      </c>
      <c r="C460" s="10" t="n">
        <v>0</v>
      </c>
      <c r="D460" s="10" t="n">
        <v>0</v>
      </c>
      <c r="E460" s="10" t="n">
        <v>0</v>
      </c>
      <c r="F460" s="10" t="n">
        <v>0</v>
      </c>
      <c r="G460" s="10" t="n">
        <v>0</v>
      </c>
      <c r="H460" s="10" t="n">
        <v>0</v>
      </c>
      <c r="I460" s="10" t="n">
        <v>0</v>
      </c>
      <c r="J460" s="10" t="n">
        <v>0</v>
      </c>
      <c r="K460" s="11" t="str">
        <f aca="false">IF(E460+F460=0,"",E460/(E460+F460))</f>
        <v/>
      </c>
      <c r="L460" s="9" t="str">
        <f aca="false">IF(E460+I460&gt;0,"Yes","No")</f>
        <v>No</v>
      </c>
      <c r="M460" s="12"/>
    </row>
    <row r="461" customFormat="false" ht="15" hidden="false" customHeight="false" outlineLevel="0" collapsed="false">
      <c r="A461" s="13" t="n">
        <v>460</v>
      </c>
      <c r="B461" s="13" t="s">
        <v>934</v>
      </c>
      <c r="C461" s="6" t="n">
        <v>0</v>
      </c>
      <c r="D461" s="6" t="n">
        <v>0</v>
      </c>
      <c r="E461" s="6" t="n">
        <v>0</v>
      </c>
      <c r="F461" s="6" t="n">
        <v>0</v>
      </c>
      <c r="G461" s="6" t="n">
        <v>0</v>
      </c>
      <c r="H461" s="6" t="n">
        <v>0</v>
      </c>
      <c r="I461" s="6" t="n">
        <v>0</v>
      </c>
      <c r="J461" s="6" t="n">
        <v>0</v>
      </c>
      <c r="K461" s="7" t="str">
        <f aca="false">IF(E461+F461=0,"",E461/(E461+F461))</f>
        <v/>
      </c>
      <c r="L461" s="13" t="str">
        <f aca="false">IF(E461+I461&gt;0,"Yes","No")</f>
        <v>No</v>
      </c>
      <c r="M461" s="14"/>
    </row>
    <row r="462" customFormat="false" ht="15" hidden="false" customHeight="false" outlineLevel="0" collapsed="false">
      <c r="A462" s="9" t="n">
        <v>461</v>
      </c>
      <c r="B462" s="9" t="s">
        <v>553</v>
      </c>
      <c r="C462" s="10" t="n">
        <v>11</v>
      </c>
      <c r="D462" s="10" t="n">
        <v>11</v>
      </c>
      <c r="E462" s="10" t="n">
        <v>22</v>
      </c>
      <c r="F462" s="10" t="n">
        <v>1</v>
      </c>
      <c r="G462" s="10" t="n">
        <v>4</v>
      </c>
      <c r="H462" s="10" t="n">
        <v>1</v>
      </c>
      <c r="I462" s="10" t="n">
        <v>5</v>
      </c>
      <c r="J462" s="10" t="n">
        <v>0</v>
      </c>
      <c r="K462" s="11" t="n">
        <f aca="false">IF(E462+F462=0,"",E462/(E462+F462))</f>
        <v>0.956521739130435</v>
      </c>
      <c r="L462" s="9" t="str">
        <f aca="false">IF(E462+I462&gt;0,"Yes","No")</f>
        <v>Yes</v>
      </c>
      <c r="M462" s="12" t="s">
        <v>554</v>
      </c>
    </row>
    <row r="463" customFormat="false" ht="15" hidden="false" customHeight="false" outlineLevel="0" collapsed="false">
      <c r="A463" s="13" t="n">
        <v>462</v>
      </c>
      <c r="B463" s="13" t="s">
        <v>773</v>
      </c>
      <c r="C463" s="6" t="n">
        <v>1</v>
      </c>
      <c r="D463" s="6" t="n">
        <v>3</v>
      </c>
      <c r="E463" s="6" t="n">
        <v>4</v>
      </c>
      <c r="F463" s="6" t="n">
        <v>0</v>
      </c>
      <c r="G463" s="6" t="n">
        <v>3</v>
      </c>
      <c r="H463" s="6" t="n">
        <v>0</v>
      </c>
      <c r="I463" s="6" t="n">
        <v>3</v>
      </c>
      <c r="J463" s="6" t="n">
        <v>0</v>
      </c>
      <c r="K463" s="7" t="n">
        <f aca="false">IF(E463+F463=0,"",E463/(E463+F463))</f>
        <v>1</v>
      </c>
      <c r="L463" s="13" t="str">
        <f aca="false">IF(E463+I463&gt;0,"Yes","No")</f>
        <v>Yes</v>
      </c>
      <c r="M463" s="14" t="s">
        <v>774</v>
      </c>
    </row>
    <row r="464" customFormat="false" ht="15" hidden="false" customHeight="false" outlineLevel="0" collapsed="false">
      <c r="A464" s="9" t="n">
        <v>463</v>
      </c>
      <c r="B464" s="9" t="s">
        <v>461</v>
      </c>
      <c r="C464" s="10" t="n">
        <v>11</v>
      </c>
      <c r="D464" s="10" t="n">
        <v>26</v>
      </c>
      <c r="E464" s="10" t="n">
        <v>37</v>
      </c>
      <c r="F464" s="10" t="n">
        <v>1</v>
      </c>
      <c r="G464" s="10" t="n">
        <v>0</v>
      </c>
      <c r="H464" s="10" t="n">
        <v>3</v>
      </c>
      <c r="I464" s="10" t="n">
        <v>3</v>
      </c>
      <c r="J464" s="10" t="n">
        <v>0</v>
      </c>
      <c r="K464" s="11" t="n">
        <f aca="false">IF(E464+F464=0,"",E464/(E464+F464))</f>
        <v>0.973684210526316</v>
      </c>
      <c r="L464" s="9" t="str">
        <f aca="false">IF(E464+I464&gt;0,"Yes","No")</f>
        <v>Yes</v>
      </c>
      <c r="M464" s="12" t="s">
        <v>462</v>
      </c>
    </row>
    <row r="465" customFormat="false" ht="15" hidden="false" customHeight="false" outlineLevel="0" collapsed="false">
      <c r="A465" s="13" t="n">
        <v>464</v>
      </c>
      <c r="B465" s="13" t="s">
        <v>935</v>
      </c>
      <c r="C465" s="6" t="n">
        <v>0</v>
      </c>
      <c r="D465" s="6" t="n">
        <v>0</v>
      </c>
      <c r="E465" s="6" t="n">
        <v>0</v>
      </c>
      <c r="F465" s="6" t="n">
        <v>0</v>
      </c>
      <c r="G465" s="6" t="n">
        <v>0</v>
      </c>
      <c r="H465" s="6" t="n">
        <v>0</v>
      </c>
      <c r="I465" s="6" t="n">
        <v>0</v>
      </c>
      <c r="J465" s="6" t="n">
        <v>0</v>
      </c>
      <c r="K465" s="7" t="str">
        <f aca="false">IF(E465+F465=0,"",E465/(E465+F465))</f>
        <v/>
      </c>
      <c r="L465" s="13" t="str">
        <f aca="false">IF(E465+I465&gt;0,"Yes","No")</f>
        <v>No</v>
      </c>
      <c r="M465" s="14"/>
    </row>
    <row r="466" customFormat="false" ht="15" hidden="false" customHeight="false" outlineLevel="0" collapsed="false">
      <c r="A466" s="9" t="n">
        <v>465</v>
      </c>
      <c r="B466" s="9" t="s">
        <v>181</v>
      </c>
      <c r="C466" s="10" t="n">
        <v>120</v>
      </c>
      <c r="D466" s="10" t="n">
        <v>131</v>
      </c>
      <c r="E466" s="10" t="n">
        <v>251</v>
      </c>
      <c r="F466" s="10" t="n">
        <v>0</v>
      </c>
      <c r="G466" s="10" t="n">
        <v>9</v>
      </c>
      <c r="H466" s="10" t="n">
        <v>44</v>
      </c>
      <c r="I466" s="10" t="n">
        <v>53</v>
      </c>
      <c r="J466" s="10" t="n">
        <v>1</v>
      </c>
      <c r="K466" s="11" t="n">
        <f aca="false">IF(E466+F466=0,"",E466/(E466+F466))</f>
        <v>1</v>
      </c>
      <c r="L466" s="9" t="str">
        <f aca="false">IF(E466+I466&gt;0,"Yes","No")</f>
        <v>Yes</v>
      </c>
      <c r="M466" s="12" t="s">
        <v>182</v>
      </c>
    </row>
    <row r="467" customFormat="false" ht="15" hidden="false" customHeight="false" outlineLevel="0" collapsed="false">
      <c r="A467" s="13" t="n">
        <v>466</v>
      </c>
      <c r="B467" s="13" t="s">
        <v>747</v>
      </c>
      <c r="C467" s="6" t="n">
        <v>6</v>
      </c>
      <c r="D467" s="6" t="n">
        <v>0</v>
      </c>
      <c r="E467" s="6" t="n">
        <v>6</v>
      </c>
      <c r="F467" s="6" t="n">
        <v>0</v>
      </c>
      <c r="G467" s="6" t="n">
        <v>1</v>
      </c>
      <c r="H467" s="6" t="n">
        <v>0</v>
      </c>
      <c r="I467" s="6" t="n">
        <v>1</v>
      </c>
      <c r="J467" s="6" t="n">
        <v>0</v>
      </c>
      <c r="K467" s="7" t="n">
        <f aca="false">IF(E467+F467=0,"",E467/(E467+F467))</f>
        <v>1</v>
      </c>
      <c r="L467" s="13" t="str">
        <f aca="false">IF(E467+I467&gt;0,"Yes","No")</f>
        <v>Yes</v>
      </c>
      <c r="M467" s="14" t="s">
        <v>748</v>
      </c>
    </row>
    <row r="468" customFormat="false" ht="15" hidden="false" customHeight="false" outlineLevel="0" collapsed="false">
      <c r="A468" s="9" t="n">
        <v>467</v>
      </c>
      <c r="B468" s="9" t="s">
        <v>883</v>
      </c>
      <c r="C468" s="10" t="n">
        <v>0</v>
      </c>
      <c r="D468" s="10" t="n">
        <v>1</v>
      </c>
      <c r="E468" s="10" t="n">
        <v>1</v>
      </c>
      <c r="F468" s="10" t="n">
        <v>0</v>
      </c>
      <c r="G468" s="10" t="n">
        <v>0</v>
      </c>
      <c r="H468" s="10" t="n">
        <v>0</v>
      </c>
      <c r="I468" s="10" t="n">
        <v>0</v>
      </c>
      <c r="J468" s="10" t="n">
        <v>0</v>
      </c>
      <c r="K468" s="11" t="n">
        <f aca="false">IF(E468+F468=0,"",E468/(E468+F468))</f>
        <v>1</v>
      </c>
      <c r="L468" s="9" t="str">
        <f aca="false">IF(E468+I468&gt;0,"Yes","No")</f>
        <v>Yes</v>
      </c>
      <c r="M468" s="12" t="s">
        <v>884</v>
      </c>
    </row>
    <row r="469" customFormat="false" ht="15" hidden="false" customHeight="false" outlineLevel="0" collapsed="false">
      <c r="A469" s="13" t="n">
        <v>468</v>
      </c>
      <c r="B469" s="13" t="s">
        <v>713</v>
      </c>
      <c r="C469" s="6" t="n">
        <v>6</v>
      </c>
      <c r="D469" s="6" t="n">
        <v>2</v>
      </c>
      <c r="E469" s="6" t="n">
        <v>8</v>
      </c>
      <c r="F469" s="6" t="n">
        <v>0</v>
      </c>
      <c r="G469" s="6" t="n">
        <v>3</v>
      </c>
      <c r="H469" s="6" t="n">
        <v>0</v>
      </c>
      <c r="I469" s="6" t="n">
        <v>3</v>
      </c>
      <c r="J469" s="6" t="n">
        <v>0</v>
      </c>
      <c r="K469" s="7" t="n">
        <f aca="false">IF(E469+F469=0,"",E469/(E469+F469))</f>
        <v>1</v>
      </c>
      <c r="L469" s="13" t="str">
        <f aca="false">IF(E469+I469&gt;0,"Yes","No")</f>
        <v>Yes</v>
      </c>
      <c r="M469" s="14" t="s">
        <v>714</v>
      </c>
    </row>
    <row r="470" customFormat="false" ht="15" hidden="false" customHeight="false" outlineLevel="0" collapsed="false">
      <c r="A470" s="9" t="n">
        <v>469</v>
      </c>
      <c r="B470" s="9" t="s">
        <v>845</v>
      </c>
      <c r="C470" s="10" t="n">
        <v>2</v>
      </c>
      <c r="D470" s="10" t="n">
        <v>0</v>
      </c>
      <c r="E470" s="10" t="n">
        <v>2</v>
      </c>
      <c r="F470" s="10" t="n">
        <v>0</v>
      </c>
      <c r="G470" s="10" t="n">
        <v>0</v>
      </c>
      <c r="H470" s="10" t="n">
        <v>0</v>
      </c>
      <c r="I470" s="10" t="n">
        <v>0</v>
      </c>
      <c r="J470" s="10" t="n">
        <v>0</v>
      </c>
      <c r="K470" s="11" t="n">
        <f aca="false">IF(E470+F470=0,"",E470/(E470+F470))</f>
        <v>1</v>
      </c>
      <c r="L470" s="9" t="str">
        <f aca="false">IF(E470+I470&gt;0,"Yes","No")</f>
        <v>Yes</v>
      </c>
      <c r="M470" s="12" t="s">
        <v>846</v>
      </c>
    </row>
    <row r="471" customFormat="false" ht="15" hidden="false" customHeight="false" outlineLevel="0" collapsed="false">
      <c r="A471" s="13" t="n">
        <v>470</v>
      </c>
      <c r="B471" s="13" t="s">
        <v>885</v>
      </c>
      <c r="C471" s="6" t="n">
        <v>0</v>
      </c>
      <c r="D471" s="6" t="n">
        <v>1</v>
      </c>
      <c r="E471" s="6" t="n">
        <v>1</v>
      </c>
      <c r="F471" s="6" t="n">
        <v>0</v>
      </c>
      <c r="G471" s="6" t="n">
        <v>0</v>
      </c>
      <c r="H471" s="6" t="n">
        <v>0</v>
      </c>
      <c r="I471" s="6" t="n">
        <v>0</v>
      </c>
      <c r="J471" s="6" t="n">
        <v>0</v>
      </c>
      <c r="K471" s="7" t="n">
        <f aca="false">IF(E471+F471=0,"",E471/(E471+F471))</f>
        <v>1</v>
      </c>
      <c r="L471" s="13" t="str">
        <f aca="false">IF(E471+I471&gt;0,"Yes","No")</f>
        <v>Yes</v>
      </c>
      <c r="M471" s="14" t="s">
        <v>886</v>
      </c>
    </row>
    <row r="472" customFormat="false" ht="15" hidden="false" customHeight="false" outlineLevel="0" collapsed="false">
      <c r="A472" s="9" t="n">
        <v>471</v>
      </c>
      <c r="B472" s="9" t="s">
        <v>649</v>
      </c>
      <c r="C472" s="10" t="n">
        <v>5</v>
      </c>
      <c r="D472" s="10" t="n">
        <v>7</v>
      </c>
      <c r="E472" s="10" t="n">
        <v>12</v>
      </c>
      <c r="F472" s="10" t="n">
        <v>0</v>
      </c>
      <c r="G472" s="10" t="n">
        <v>4</v>
      </c>
      <c r="H472" s="10" t="n">
        <v>0</v>
      </c>
      <c r="I472" s="10" t="n">
        <v>4</v>
      </c>
      <c r="J472" s="10" t="n">
        <v>1</v>
      </c>
      <c r="K472" s="11" t="n">
        <f aca="false">IF(E472+F472=0,"",E472/(E472+F472))</f>
        <v>1</v>
      </c>
      <c r="L472" s="9" t="str">
        <f aca="false">IF(E472+I472&gt;0,"Yes","No")</f>
        <v>Yes</v>
      </c>
      <c r="M472" s="12" t="s">
        <v>650</v>
      </c>
    </row>
  </sheetData>
  <autoFilter ref="A1:M47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2026-09-04T21:48:46Z</dcterms:created>
  <dc:creator>openpyxl</dc:creator>
  <dc:description/>
  <dc:language>en-US</dc:language>
  <cp:lastModifiedBy/>
  <dcterms:modified xsi:type="dcterms:W3CDTF">2026-09-04T21:48:47Z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